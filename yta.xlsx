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ideos_Data" sheetId="1" state="visible" r:id="rId3"/>
    <sheet name="Channel_Analytics" sheetId="2" state="visible" r:id="rId4"/>
    <sheet name="Category_Analysis" sheetId="3" state="visible" r:id="rId5"/>
    <sheet name="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<sst xmlns="http://schemas.openxmlformats.org/spreadsheetml/2006/main" count="8266" uniqueCount="1951">
  <si>
    <t xml:space="preserve">Video_ID</t>
  </si>
  <si>
    <t xml:space="preserve">Title</t>
  </si>
  <si>
    <t xml:space="preserve">Channel_Name</t>
  </si>
  <si>
    <t xml:space="preserve">Category</t>
  </si>
  <si>
    <t xml:space="preserve">Published_Date</t>
  </si>
  <si>
    <t xml:space="preserve">Trending_Date</t>
  </si>
  <si>
    <t xml:space="preserve">Views</t>
  </si>
  <si>
    <t xml:space="preserve">Likes</t>
  </si>
  <si>
    <t xml:space="preserve">Comments</t>
  </si>
  <si>
    <t xml:space="preserve">Video_Duration_Min</t>
  </si>
  <si>
    <t xml:space="preserve">Tags_Count</t>
  </si>
  <si>
    <t xml:space="preserve">Description_Length</t>
  </si>
  <si>
    <t xml:space="preserve">Thumbnail_Quality</t>
  </si>
  <si>
    <t xml:space="preserve">Country</t>
  </si>
  <si>
    <t xml:space="preserve">VID0001</t>
  </si>
  <si>
    <t xml:space="preserve">Fortnite Animated Short</t>
  </si>
  <si>
    <t xml:space="preserve">ProTechMedia</t>
  </si>
  <si>
    <t xml:space="preserve">Film &amp; Animation</t>
  </si>
  <si>
    <t xml:space="preserve">2026-02-24</t>
  </si>
  <si>
    <t xml:space="preserve">2026-02-27</t>
  </si>
  <si>
    <t xml:space="preserve">High</t>
  </si>
  <si>
    <t xml:space="preserve">MX</t>
  </si>
  <si>
    <t xml:space="preserve">VID0002</t>
  </si>
  <si>
    <t xml:space="preserve">Best Cooking Compilation</t>
  </si>
  <si>
    <t xml:space="preserve">EpicSportsHub</t>
  </si>
  <si>
    <t xml:space="preserve">Entertainment</t>
  </si>
  <si>
    <t xml:space="preserve">2026-05-06</t>
  </si>
  <si>
    <t xml:space="preserve">2026-05-11</t>
  </si>
  <si>
    <t xml:space="preserve">UK</t>
  </si>
  <si>
    <t xml:space="preserve">VID0003</t>
  </si>
  <si>
    <t xml:space="preserve">Cooking Concert</t>
  </si>
  <si>
    <t xml:space="preserve">OfficialReviewZone</t>
  </si>
  <si>
    <t xml:space="preserve">Music</t>
  </si>
  <si>
    <t xml:space="preserve">2026-04-28</t>
  </si>
  <si>
    <t xml:space="preserve">2026-04-30</t>
  </si>
  <si>
    <t xml:space="preserve">Low</t>
  </si>
  <si>
    <t xml:space="preserve">VID0004</t>
  </si>
  <si>
    <t xml:space="preserve">Fortnite Comedy Show</t>
  </si>
  <si>
    <t xml:space="preserve">MasterEntertainmentZone</t>
  </si>
  <si>
    <t xml:space="preserve">Comedy</t>
  </si>
  <si>
    <t xml:space="preserve">2026-04-12</t>
  </si>
  <si>
    <t xml:space="preserve">2026-04-14</t>
  </si>
  <si>
    <t xml:space="preserve">CA</t>
  </si>
  <si>
    <t xml:space="preserve">VID0005</t>
  </si>
  <si>
    <t xml:space="preserve">Future of Travel</t>
  </si>
  <si>
    <t xml:space="preserve">TVMusicTV</t>
  </si>
  <si>
    <t xml:space="preserve">Science &amp; Technology</t>
  </si>
  <si>
    <t xml:space="preserve">2026-04-17</t>
  </si>
  <si>
    <t xml:space="preserve">2026-04-24</t>
  </si>
  <si>
    <t xml:space="preserve">VID0006</t>
  </si>
  <si>
    <t xml:space="preserve">Fitness Trailer</t>
  </si>
  <si>
    <t xml:space="preserve">TechReviewTV</t>
  </si>
  <si>
    <t xml:space="preserve">2026-03-18</t>
  </si>
  <si>
    <t xml:space="preserve">2026-03-25</t>
  </si>
  <si>
    <t xml:space="preserve">Medium</t>
  </si>
  <si>
    <t xml:space="preserve">ES</t>
  </si>
  <si>
    <t xml:space="preserve">VID0007</t>
  </si>
  <si>
    <t xml:space="preserve">Rock Tutorial</t>
  </si>
  <si>
    <t xml:space="preserve">EpicEntertainmentWorld</t>
  </si>
  <si>
    <t xml:space="preserve">Gaming</t>
  </si>
  <si>
    <t xml:space="preserve">2026-02-23</t>
  </si>
  <si>
    <t xml:space="preserve">2026-02-28</t>
  </si>
  <si>
    <t xml:space="preserve">VID0008</t>
  </si>
  <si>
    <t xml:space="preserve">Rock Makeup Tutorial</t>
  </si>
  <si>
    <t xml:space="preserve">TechEntertainmentStudios</t>
  </si>
  <si>
    <t xml:space="preserve">Howto &amp; Style</t>
  </si>
  <si>
    <t xml:space="preserve">2026-03-06</t>
  </si>
  <si>
    <t xml:space="preserve">KR</t>
  </si>
  <si>
    <t xml:space="preserve">VID0009</t>
  </si>
  <si>
    <t xml:space="preserve">Python Test Drive</t>
  </si>
  <si>
    <t xml:space="preserve">TopNewsChannel</t>
  </si>
  <si>
    <t xml:space="preserve">Autos &amp; Vehicles</t>
  </si>
  <si>
    <t xml:space="preserve">2026-04-29</t>
  </si>
  <si>
    <t xml:space="preserve">2026-05-05</t>
  </si>
  <si>
    <t xml:space="preserve">JP</t>
  </si>
  <si>
    <t xml:space="preserve">VID0010</t>
  </si>
  <si>
    <t xml:space="preserve">Football Championship</t>
  </si>
  <si>
    <t xml:space="preserve">WorldGamingZone</t>
  </si>
  <si>
    <t xml:space="preserve">Sports</t>
  </si>
  <si>
    <t xml:space="preserve">2026-03-07</t>
  </si>
  <si>
    <t xml:space="preserve">2026-03-11</t>
  </si>
  <si>
    <t xml:space="preserve">BR</t>
  </si>
  <si>
    <t xml:space="preserve">VID0011</t>
  </si>
  <si>
    <t xml:space="preserve">Rock Full Movie</t>
  </si>
  <si>
    <t xml:space="preserve">BestReviewStudios</t>
  </si>
  <si>
    <t xml:space="preserve">2026-02-20</t>
  </si>
  <si>
    <t xml:space="preserve">VID0012</t>
  </si>
  <si>
    <t xml:space="preserve">How to iPhone</t>
  </si>
  <si>
    <t xml:space="preserve">TopNewsProduction</t>
  </si>
  <si>
    <t xml:space="preserve">Education</t>
  </si>
  <si>
    <t xml:space="preserve">2026-04-16</t>
  </si>
  <si>
    <t xml:space="preserve">VID0013</t>
  </si>
  <si>
    <t xml:space="preserve">Top iPhone Cars 2026</t>
  </si>
  <si>
    <t xml:space="preserve">ProNewsMedia</t>
  </si>
  <si>
    <t xml:space="preserve">2026-04-08</t>
  </si>
  <si>
    <t xml:space="preserve">2026-04-13</t>
  </si>
  <si>
    <t xml:space="preserve">US</t>
  </si>
  <si>
    <t xml:space="preserve">VID0014</t>
  </si>
  <si>
    <t xml:space="preserve">Cooking Live Performance</t>
  </si>
  <si>
    <t xml:space="preserve">OfficialSportsWorld</t>
  </si>
  <si>
    <t xml:space="preserve">2026-03-01</t>
  </si>
  <si>
    <t xml:space="preserve">2026-03-03</t>
  </si>
  <si>
    <t xml:space="preserve">IN</t>
  </si>
  <si>
    <t xml:space="preserve">VID0015</t>
  </si>
  <si>
    <t xml:space="preserve">Fortnite Explained</t>
  </si>
  <si>
    <t xml:space="preserve">WorldVlogOfficial</t>
  </si>
  <si>
    <t xml:space="preserve">2026-05-01</t>
  </si>
  <si>
    <t xml:space="preserve">VID0016</t>
  </si>
  <si>
    <t xml:space="preserve">Python Life Update</t>
  </si>
  <si>
    <t xml:space="preserve">People &amp; Blogs</t>
  </si>
  <si>
    <t xml:space="preserve">2026-03-29</t>
  </si>
  <si>
    <t xml:space="preserve">2026-04-02</t>
  </si>
  <si>
    <t xml:space="preserve">VID0017</t>
  </si>
  <si>
    <t xml:space="preserve">Future of Cooking</t>
  </si>
  <si>
    <t xml:space="preserve">TVGamingMedia</t>
  </si>
  <si>
    <t xml:space="preserve">2026-01-26</t>
  </si>
  <si>
    <t xml:space="preserve">2026-01-29</t>
  </si>
  <si>
    <t xml:space="preserve">VID0018</t>
  </si>
  <si>
    <t xml:space="preserve">Fitness Masterclass</t>
  </si>
  <si>
    <t xml:space="preserve">ProTechProduction</t>
  </si>
  <si>
    <t xml:space="preserve">2026-03-15</t>
  </si>
  <si>
    <t xml:space="preserve">2026-03-19</t>
  </si>
  <si>
    <t xml:space="preserve">AU</t>
  </si>
  <si>
    <t xml:space="preserve">VID0019</t>
  </si>
  <si>
    <t xml:space="preserve">WorldSportsWorld</t>
  </si>
  <si>
    <t xml:space="preserve">2026-05-03</t>
  </si>
  <si>
    <t xml:space="preserve">2026-05-08</t>
  </si>
  <si>
    <t xml:space="preserve">VID0020</t>
  </si>
  <si>
    <t xml:space="preserve">Best Pop Songs 2026</t>
  </si>
  <si>
    <t xml:space="preserve">MasterSportsStudios</t>
  </si>
  <si>
    <t xml:space="preserve">2026-05-07</t>
  </si>
  <si>
    <t xml:space="preserve">VID0021</t>
  </si>
  <si>
    <t xml:space="preserve">Makeup Stand Up</t>
  </si>
  <si>
    <t xml:space="preserve">BestMusicTV</t>
  </si>
  <si>
    <t xml:space="preserve">2026-04-05</t>
  </si>
  <si>
    <t xml:space="preserve">VID0022</t>
  </si>
  <si>
    <t xml:space="preserve">Top Cooking Cars 2026</t>
  </si>
  <si>
    <t xml:space="preserve">MasterLifeMedia</t>
  </si>
  <si>
    <t xml:space="preserve">2026-01-01</t>
  </si>
  <si>
    <t xml:space="preserve">2026-01-03</t>
  </si>
  <si>
    <t xml:space="preserve">FR</t>
  </si>
  <si>
    <t xml:space="preserve">VID0023</t>
  </si>
  <si>
    <t xml:space="preserve">Pop Latest Updates</t>
  </si>
  <si>
    <t xml:space="preserve">BestEntertainmentMedia</t>
  </si>
  <si>
    <t xml:space="preserve">News &amp; Politics</t>
  </si>
  <si>
    <t xml:space="preserve">2026-03-16</t>
  </si>
  <si>
    <t xml:space="preserve">VID0024</t>
  </si>
  <si>
    <t xml:space="preserve">Basketball Test Drive</t>
  </si>
  <si>
    <t xml:space="preserve">TechLifeNetwork</t>
  </si>
  <si>
    <t xml:space="preserve">2026-05-15</t>
  </si>
  <si>
    <t xml:space="preserve">VID0025</t>
  </si>
  <si>
    <t xml:space="preserve">Best Python Ideas</t>
  </si>
  <si>
    <t xml:space="preserve">TopEntertainmentProduction</t>
  </si>
  <si>
    <t xml:space="preserve">2026-01-04</t>
  </si>
  <si>
    <t xml:space="preserve">2026-01-11</t>
  </si>
  <si>
    <t xml:space="preserve">VID0026</t>
  </si>
  <si>
    <t xml:space="preserve">Pop Championship</t>
  </si>
  <si>
    <t xml:space="preserve">TopMusicTV</t>
  </si>
  <si>
    <t xml:space="preserve">2026-02-09</t>
  </si>
  <si>
    <t xml:space="preserve">2026-02-14</t>
  </si>
  <si>
    <t xml:space="preserve">VID0027</t>
  </si>
  <si>
    <t xml:space="preserve">Top 10 Fitness Tips</t>
  </si>
  <si>
    <t xml:space="preserve">SuperTechChannel</t>
  </si>
  <si>
    <t xml:space="preserve">2026-02-11</t>
  </si>
  <si>
    <t xml:space="preserve">2026-02-15</t>
  </si>
  <si>
    <t xml:space="preserve">VID0028</t>
  </si>
  <si>
    <t xml:space="preserve">Best AI Moments</t>
  </si>
  <si>
    <t xml:space="preserve">BestVlogMedia</t>
  </si>
  <si>
    <t xml:space="preserve">2026-02-21</t>
  </si>
  <si>
    <t xml:space="preserve">DE</t>
  </si>
  <si>
    <t xml:space="preserve">VID0029</t>
  </si>
  <si>
    <t xml:space="preserve">FIFA Music Mix</t>
  </si>
  <si>
    <t xml:space="preserve">OfficialComedyStudios</t>
  </si>
  <si>
    <t xml:space="preserve">VID0030</t>
  </si>
  <si>
    <t xml:space="preserve">iPhone Comparison</t>
  </si>
  <si>
    <t xml:space="preserve">MasterTechMedia</t>
  </si>
  <si>
    <t xml:space="preserve">2026-01-10</t>
  </si>
  <si>
    <t xml:space="preserve">2026-01-17</t>
  </si>
  <si>
    <t xml:space="preserve">VID0031</t>
  </si>
  <si>
    <t xml:space="preserve">Football Analysis</t>
  </si>
  <si>
    <t xml:space="preserve">OfficialNewsMedia</t>
  </si>
  <si>
    <t xml:space="preserve">2026-01-08</t>
  </si>
  <si>
    <t xml:space="preserve">2026-01-09</t>
  </si>
  <si>
    <t xml:space="preserve">VID0032</t>
  </si>
  <si>
    <t xml:space="preserve">Makeup Analysis</t>
  </si>
  <si>
    <t xml:space="preserve">UltimateEntertainmentProduction</t>
  </si>
  <si>
    <t xml:space="preserve">2026-03-09</t>
  </si>
  <si>
    <t xml:space="preserve">VID0033</t>
  </si>
  <si>
    <t xml:space="preserve">Cooking Life Update</t>
  </si>
  <si>
    <t xml:space="preserve">TVLifeOfficial</t>
  </si>
  <si>
    <t xml:space="preserve">VID0034</t>
  </si>
  <si>
    <t xml:space="preserve">Travel Comedy Show</t>
  </si>
  <si>
    <t xml:space="preserve">UltimateNewsChannel</t>
  </si>
  <si>
    <t xml:space="preserve">2026-05-14</t>
  </si>
  <si>
    <t xml:space="preserve">VID0035</t>
  </si>
  <si>
    <t xml:space="preserve">AI Skills &amp; Goals</t>
  </si>
  <si>
    <t xml:space="preserve">EpicTechMedia</t>
  </si>
  <si>
    <t xml:space="preserve">2026-01-31</t>
  </si>
  <si>
    <t xml:space="preserve">2026-02-01</t>
  </si>
  <si>
    <t xml:space="preserve">VID0036</t>
  </si>
  <si>
    <t xml:space="preserve">Basketball Latest Updates</t>
  </si>
  <si>
    <t xml:space="preserve">TVLifeStudios</t>
  </si>
  <si>
    <t xml:space="preserve">VID0037</t>
  </si>
  <si>
    <t xml:space="preserve">Football Discussion</t>
  </si>
  <si>
    <t xml:space="preserve">2026-03-21</t>
  </si>
  <si>
    <t xml:space="preserve">2026-03-27</t>
  </si>
  <si>
    <t xml:space="preserve">VID0038</t>
  </si>
  <si>
    <t xml:space="preserve">Best Minecraft Plays</t>
  </si>
  <si>
    <t xml:space="preserve">ProTechHub</t>
  </si>
  <si>
    <t xml:space="preserve">2026-03-12</t>
  </si>
  <si>
    <t xml:space="preserve">VID0039</t>
  </si>
  <si>
    <t xml:space="preserve">Fitness Gameplay</t>
  </si>
  <si>
    <t xml:space="preserve">MasterNewsHub</t>
  </si>
  <si>
    <t xml:space="preserve">2026-05-09</t>
  </si>
  <si>
    <t xml:space="preserve">2026-05-12</t>
  </si>
  <si>
    <t xml:space="preserve">VID0040</t>
  </si>
  <si>
    <t xml:space="preserve">Best Makeup Plays</t>
  </si>
  <si>
    <t xml:space="preserve">TVVlogOfficial</t>
  </si>
  <si>
    <t xml:space="preserve">VID0041</t>
  </si>
  <si>
    <t xml:space="preserve">Top Basketball Gadgets</t>
  </si>
  <si>
    <t xml:space="preserve">2026-04-26</t>
  </si>
  <si>
    <t xml:space="preserve">VID0042</t>
  </si>
  <si>
    <t xml:space="preserve">iPhone Trailer</t>
  </si>
  <si>
    <t xml:space="preserve">EpicEntertainmentTV</t>
  </si>
  <si>
    <t xml:space="preserve">2026-02-16</t>
  </si>
  <si>
    <t xml:space="preserve">VID0043</t>
  </si>
  <si>
    <t xml:space="preserve">Python Interview</t>
  </si>
  <si>
    <t xml:space="preserve">VID0044</t>
  </si>
  <si>
    <t xml:space="preserve">FIFA Prank</t>
  </si>
  <si>
    <t xml:space="preserve">2026-02-13</t>
  </si>
  <si>
    <t xml:space="preserve">VID0045</t>
  </si>
  <si>
    <t xml:space="preserve">Makeup Tutorial</t>
  </si>
  <si>
    <t xml:space="preserve">ProLifeOfficial</t>
  </si>
  <si>
    <t xml:space="preserve">2026-02-25</t>
  </si>
  <si>
    <t xml:space="preserve">VID0046</t>
  </si>
  <si>
    <t xml:space="preserve">Football Highlights</t>
  </si>
  <si>
    <t xml:space="preserve">TopMusicStudios</t>
  </si>
  <si>
    <t xml:space="preserve">2026-01-21</t>
  </si>
  <si>
    <t xml:space="preserve">2026-01-23</t>
  </si>
  <si>
    <t xml:space="preserve">VID0047</t>
  </si>
  <si>
    <t xml:space="preserve">Fitness Music Mix</t>
  </si>
  <si>
    <t xml:space="preserve">2026-04-01</t>
  </si>
  <si>
    <t xml:space="preserve">VID0048</t>
  </si>
  <si>
    <t xml:space="preserve">Android Skills &amp; Goals</t>
  </si>
  <si>
    <t xml:space="preserve">2026-02-18</t>
  </si>
  <si>
    <t xml:space="preserve">VID0049</t>
  </si>
  <si>
    <t xml:space="preserve">Learn Fitness in 10 Minutes</t>
  </si>
  <si>
    <t xml:space="preserve">ProVlogTV</t>
  </si>
  <si>
    <t xml:space="preserve">2026-01-30</t>
  </si>
  <si>
    <t xml:space="preserve">VID0050</t>
  </si>
  <si>
    <t xml:space="preserve">Rock Roast</t>
  </si>
  <si>
    <t xml:space="preserve">ProVlogOfficial</t>
  </si>
  <si>
    <t xml:space="preserve">2026-03-14</t>
  </si>
  <si>
    <t xml:space="preserve">2026-03-20</t>
  </si>
  <si>
    <t xml:space="preserve">VID0051</t>
  </si>
  <si>
    <t xml:space="preserve">How to Android</t>
  </si>
  <si>
    <t xml:space="preserve">SuperMusicStudios</t>
  </si>
  <si>
    <t xml:space="preserve">2026-02-08</t>
  </si>
  <si>
    <t xml:space="preserve">VID0052</t>
  </si>
  <si>
    <t xml:space="preserve">How to Fortnite</t>
  </si>
  <si>
    <t xml:space="preserve">VID0053</t>
  </si>
  <si>
    <t xml:space="preserve">Android Review</t>
  </si>
  <si>
    <t xml:space="preserve">2026-04-25</t>
  </si>
  <si>
    <t xml:space="preserve">VID0054</t>
  </si>
  <si>
    <t xml:space="preserve">Best Pop Plays</t>
  </si>
  <si>
    <t xml:space="preserve">2026-03-30</t>
  </si>
  <si>
    <t xml:space="preserve">2026-04-04</t>
  </si>
  <si>
    <t xml:space="preserve">VID0055</t>
  </si>
  <si>
    <t xml:space="preserve">Best iPhone Compilation</t>
  </si>
  <si>
    <t xml:space="preserve">2026-04-06</t>
  </si>
  <si>
    <t xml:space="preserve">2026-04-07</t>
  </si>
  <si>
    <t xml:space="preserve">VID0056</t>
  </si>
  <si>
    <t xml:space="preserve">Pop Review</t>
  </si>
  <si>
    <t xml:space="preserve">2026-02-26</t>
  </si>
  <si>
    <t xml:space="preserve">VID0057</t>
  </si>
  <si>
    <t xml:space="preserve">Fortnite Complete Guide</t>
  </si>
  <si>
    <t xml:space="preserve">EpicTechZone</t>
  </si>
  <si>
    <t xml:space="preserve">VID0058</t>
  </si>
  <si>
    <t xml:space="preserve">Rock Memes Compilation</t>
  </si>
  <si>
    <t xml:space="preserve">2026-02-17</t>
  </si>
  <si>
    <t xml:space="preserve">2026-02-19</t>
  </si>
  <si>
    <t xml:space="preserve">VID0059</t>
  </si>
  <si>
    <t xml:space="preserve">Football Vlog</t>
  </si>
  <si>
    <t xml:space="preserve">SuperReviewTV</t>
  </si>
  <si>
    <t xml:space="preserve">2026-01-13</t>
  </si>
  <si>
    <t xml:space="preserve">VID0060</t>
  </si>
  <si>
    <t xml:space="preserve">Football Complete Guide</t>
  </si>
  <si>
    <t xml:space="preserve">OfficialTechMedia</t>
  </si>
  <si>
    <t xml:space="preserve">2026-01-14</t>
  </si>
  <si>
    <t xml:space="preserve">2026-01-19</t>
  </si>
  <si>
    <t xml:space="preserve">VID0061</t>
  </si>
  <si>
    <t xml:space="preserve">FIFA Championship</t>
  </si>
  <si>
    <t xml:space="preserve">2026-05-10</t>
  </si>
  <si>
    <t xml:space="preserve">VID0062</t>
  </si>
  <si>
    <t xml:space="preserve">Fortnite Interview</t>
  </si>
  <si>
    <t xml:space="preserve">WorldEntertainmentChannel</t>
  </si>
  <si>
    <t xml:space="preserve">VID0063</t>
  </si>
  <si>
    <t xml:space="preserve">FIFA Review</t>
  </si>
  <si>
    <t xml:space="preserve">UltimateLifeWorld</t>
  </si>
  <si>
    <t xml:space="preserve">2026-03-05</t>
  </si>
  <si>
    <t xml:space="preserve">VID0064</t>
  </si>
  <si>
    <t xml:space="preserve">EpicNewsMedia</t>
  </si>
  <si>
    <t xml:space="preserve">2026-04-10</t>
  </si>
  <si>
    <t xml:space="preserve">VID0065</t>
  </si>
  <si>
    <t xml:space="preserve">Travel Test Drive</t>
  </si>
  <si>
    <t xml:space="preserve">2026-01-28</t>
  </si>
  <si>
    <t xml:space="preserve">2026-02-04</t>
  </si>
  <si>
    <t xml:space="preserve">VID0066</t>
  </si>
  <si>
    <t xml:space="preserve">Minecraft Makeup Tutorial</t>
  </si>
  <si>
    <t xml:space="preserve">MasterReviewHub</t>
  </si>
  <si>
    <t xml:space="preserve">2026-05-02</t>
  </si>
  <si>
    <t xml:space="preserve">VID0067</t>
  </si>
  <si>
    <t xml:space="preserve">Android Live Stream</t>
  </si>
  <si>
    <t xml:space="preserve">ProEntertainmentChannel</t>
  </si>
  <si>
    <t xml:space="preserve">2026-01-24</t>
  </si>
  <si>
    <t xml:space="preserve">VID0068</t>
  </si>
  <si>
    <t xml:space="preserve">Basketball Championship</t>
  </si>
  <si>
    <t xml:space="preserve">ProComedyStudios</t>
  </si>
  <si>
    <t xml:space="preserve">VID0069</t>
  </si>
  <si>
    <t xml:space="preserve">Football Fashion Tips</t>
  </si>
  <si>
    <t xml:space="preserve">BestSportsTV</t>
  </si>
  <si>
    <t xml:space="preserve">2026-02-22</t>
  </si>
  <si>
    <t xml:space="preserve">VID0070</t>
  </si>
  <si>
    <t xml:space="preserve">Basketball Explained</t>
  </si>
  <si>
    <t xml:space="preserve">SuperMusicOfficial</t>
  </si>
  <si>
    <t xml:space="preserve">VID0071</t>
  </si>
  <si>
    <t xml:space="preserve">Football Recipe</t>
  </si>
  <si>
    <t xml:space="preserve">MasterComedyOfficial</t>
  </si>
  <si>
    <t xml:space="preserve">VID0072</t>
  </si>
  <si>
    <t xml:space="preserve">2026-01-02</t>
  </si>
  <si>
    <t xml:space="preserve">VID0073</t>
  </si>
  <si>
    <t xml:space="preserve">Android Life Update</t>
  </si>
  <si>
    <t xml:space="preserve">UltimateMusicWorld</t>
  </si>
  <si>
    <t xml:space="preserve">VID0074</t>
  </si>
  <si>
    <t xml:space="preserve">DIY Android</t>
  </si>
  <si>
    <t xml:space="preserve">2026-01-25</t>
  </si>
  <si>
    <t xml:space="preserve">VID0075</t>
  </si>
  <si>
    <t xml:space="preserve">Rock Highlights</t>
  </si>
  <si>
    <t xml:space="preserve">TVGamingNetwork</t>
  </si>
  <si>
    <t xml:space="preserve">2026-04-22</t>
  </si>
  <si>
    <t xml:space="preserve">2026-04-27</t>
  </si>
  <si>
    <t xml:space="preserve">VID0076</t>
  </si>
  <si>
    <t xml:space="preserve">Rock Challenge</t>
  </si>
  <si>
    <t xml:space="preserve">VID0077</t>
  </si>
  <si>
    <t xml:space="preserve">Top Makeup Gadgets</t>
  </si>
  <si>
    <t xml:space="preserve">BestTechTV</t>
  </si>
  <si>
    <t xml:space="preserve">2026-03-22</t>
  </si>
  <si>
    <t xml:space="preserve">2026-03-24</t>
  </si>
  <si>
    <t xml:space="preserve">VID0078</t>
  </si>
  <si>
    <t xml:space="preserve">iPhone Explained</t>
  </si>
  <si>
    <t xml:space="preserve">SuperGamingOfficial</t>
  </si>
  <si>
    <t xml:space="preserve">VID0079</t>
  </si>
  <si>
    <t xml:space="preserve">Fitness Vlog</t>
  </si>
  <si>
    <t xml:space="preserve">2026-03-02</t>
  </si>
  <si>
    <t xml:space="preserve">VID0080</t>
  </si>
  <si>
    <t xml:space="preserve">Rock Funny Moments</t>
  </si>
  <si>
    <t xml:space="preserve">TVNewsProduction</t>
  </si>
  <si>
    <t xml:space="preserve">2026-04-03</t>
  </si>
  <si>
    <t xml:space="preserve">VID0081</t>
  </si>
  <si>
    <t xml:space="preserve">Best Football Compilation</t>
  </si>
  <si>
    <t xml:space="preserve">BestLifeProduction</t>
  </si>
  <si>
    <t xml:space="preserve">VID0082</t>
  </si>
  <si>
    <t xml:space="preserve">DailyLifeProduction</t>
  </si>
  <si>
    <t xml:space="preserve">VID0083</t>
  </si>
  <si>
    <t xml:space="preserve">FIFA Explained</t>
  </si>
  <si>
    <t xml:space="preserve">VID0084</t>
  </si>
  <si>
    <t xml:space="preserve">Best Android Plays</t>
  </si>
  <si>
    <t xml:space="preserve">UltimateNewsZone</t>
  </si>
  <si>
    <t xml:space="preserve">2026-01-12</t>
  </si>
  <si>
    <t xml:space="preserve">VID0085</t>
  </si>
  <si>
    <t xml:space="preserve">Football Memes Compilation</t>
  </si>
  <si>
    <t xml:space="preserve">ProSportsNetwork</t>
  </si>
  <si>
    <t xml:space="preserve">2026-04-23</t>
  </si>
  <si>
    <t xml:space="preserve">VID0086</t>
  </si>
  <si>
    <t xml:space="preserve">Android Roast</t>
  </si>
  <si>
    <t xml:space="preserve">TVVlogStudios</t>
  </si>
  <si>
    <t xml:space="preserve">VID0087</t>
  </si>
  <si>
    <t xml:space="preserve">Makeup Complete Guide</t>
  </si>
  <si>
    <t xml:space="preserve">TVGamingOfficial</t>
  </si>
  <si>
    <t xml:space="preserve">2026-04-18</t>
  </si>
  <si>
    <t xml:space="preserve">2026-04-21</t>
  </si>
  <si>
    <t xml:space="preserve">VID0088</t>
  </si>
  <si>
    <t xml:space="preserve">Learn Basketball in 10 Minutes</t>
  </si>
  <si>
    <t xml:space="preserve">VID0089</t>
  </si>
  <si>
    <t xml:space="preserve">Basketball Live Stream</t>
  </si>
  <si>
    <t xml:space="preserve">UltimateVlogWorld</t>
  </si>
  <si>
    <t xml:space="preserve">VID0090</t>
  </si>
  <si>
    <t xml:space="preserve">Travel Masterclass</t>
  </si>
  <si>
    <t xml:space="preserve">BestLifeTV</t>
  </si>
  <si>
    <t xml:space="preserve">2026-01-27</t>
  </si>
  <si>
    <t xml:space="preserve">2026-02-02</t>
  </si>
  <si>
    <t xml:space="preserve">VID0091</t>
  </si>
  <si>
    <t xml:space="preserve">TechComedyProduction</t>
  </si>
  <si>
    <t xml:space="preserve">2026-02-03</t>
  </si>
  <si>
    <t xml:space="preserve">VID0092</t>
  </si>
  <si>
    <t xml:space="preserve">Python Review</t>
  </si>
  <si>
    <t xml:space="preserve">VID0093</t>
  </si>
  <si>
    <t xml:space="preserve">Android Recipe</t>
  </si>
  <si>
    <t xml:space="preserve">UltimateSportsHub</t>
  </si>
  <si>
    <t xml:space="preserve">VID0094</t>
  </si>
  <si>
    <t xml:space="preserve">My Rock Story</t>
  </si>
  <si>
    <t xml:space="preserve">TopComedyWorld</t>
  </si>
  <si>
    <t xml:space="preserve">VID0095</t>
  </si>
  <si>
    <t xml:space="preserve">Top 10 Makeup Tips</t>
  </si>
  <si>
    <t xml:space="preserve">VID0096</t>
  </si>
  <si>
    <t xml:space="preserve">Learn Pop in 10 Minutes</t>
  </si>
  <si>
    <t xml:space="preserve">DailySportsStudios</t>
  </si>
  <si>
    <t xml:space="preserve">2026-01-22</t>
  </si>
  <si>
    <t xml:space="preserve">VID0097</t>
  </si>
  <si>
    <t xml:space="preserve">Minecraft Animated Short</t>
  </si>
  <si>
    <t xml:space="preserve">UltimateLifeProduction</t>
  </si>
  <si>
    <t xml:space="preserve">VID0098</t>
  </si>
  <si>
    <t xml:space="preserve">Makeup Interview</t>
  </si>
  <si>
    <t xml:space="preserve">VID0099</t>
  </si>
  <si>
    <t xml:space="preserve">My Minecraft Story</t>
  </si>
  <si>
    <t xml:space="preserve">VID0100</t>
  </si>
  <si>
    <t xml:space="preserve">Learn Python in 10 Minutes</t>
  </si>
  <si>
    <t xml:space="preserve">TopNewsMedia</t>
  </si>
  <si>
    <t xml:space="preserve">2026-05-04</t>
  </si>
  <si>
    <t xml:space="preserve">VID0101</t>
  </si>
  <si>
    <t xml:space="preserve">AI Tutorial</t>
  </si>
  <si>
    <t xml:space="preserve">TechReviewWorld</t>
  </si>
  <si>
    <t xml:space="preserve">2026-01-20</t>
  </si>
  <si>
    <t xml:space="preserve">VID0102</t>
  </si>
  <si>
    <t xml:space="preserve">Rock Stand Up</t>
  </si>
  <si>
    <t xml:space="preserve">2026-04-11</t>
  </si>
  <si>
    <t xml:space="preserve">VID0103</t>
  </si>
  <si>
    <t xml:space="preserve">EpicGamingOfficial</t>
  </si>
  <si>
    <t xml:space="preserve">VID0104</t>
  </si>
  <si>
    <t xml:space="preserve">FIFA Restoration</t>
  </si>
  <si>
    <t xml:space="preserve">MasterGamingNetwork</t>
  </si>
  <si>
    <t xml:space="preserve">VID0105</t>
  </si>
  <si>
    <t xml:space="preserve">Fitness Full Movie</t>
  </si>
  <si>
    <t xml:space="preserve">VID0106</t>
  </si>
  <si>
    <t xml:space="preserve">Pop Concert</t>
  </si>
  <si>
    <t xml:space="preserve">2026-02-07</t>
  </si>
  <si>
    <t xml:space="preserve">VID0107</t>
  </si>
  <si>
    <t xml:space="preserve">Pop Comedy Show</t>
  </si>
  <si>
    <t xml:space="preserve">VID0108</t>
  </si>
  <si>
    <t xml:space="preserve">iPhone Latest Updates</t>
  </si>
  <si>
    <t xml:space="preserve">2026-02-12</t>
  </si>
  <si>
    <t xml:space="preserve">VID0109</t>
  </si>
  <si>
    <t xml:space="preserve">Best Travel Moments</t>
  </si>
  <si>
    <t xml:space="preserve">VID0110</t>
  </si>
  <si>
    <t xml:space="preserve">Fortnite Vlog</t>
  </si>
  <si>
    <t xml:space="preserve">OfficialVlogProduction</t>
  </si>
  <si>
    <t xml:space="preserve">VID0111</t>
  </si>
  <si>
    <t xml:space="preserve">Travel Recipe</t>
  </si>
  <si>
    <t xml:space="preserve">VID0112</t>
  </si>
  <si>
    <t xml:space="preserve">VID0113</t>
  </si>
  <si>
    <t xml:space="preserve">Basketball Full Movie</t>
  </si>
  <si>
    <t xml:space="preserve">2026-02-06</t>
  </si>
  <si>
    <t xml:space="preserve">VID0114</t>
  </si>
  <si>
    <t xml:space="preserve">Best iPhone Songs 2026</t>
  </si>
  <si>
    <t xml:space="preserve">VID0115</t>
  </si>
  <si>
    <t xml:space="preserve">AI Explained</t>
  </si>
  <si>
    <t xml:space="preserve">WorldTechOfficial</t>
  </si>
  <si>
    <t xml:space="preserve">2026-03-13</t>
  </si>
  <si>
    <t xml:space="preserve">VID0116</t>
  </si>
  <si>
    <t xml:space="preserve">Fortnite Tutorial</t>
  </si>
  <si>
    <t xml:space="preserve">TechVlogProduction</t>
  </si>
  <si>
    <t xml:space="preserve">VID0117</t>
  </si>
  <si>
    <t xml:space="preserve">Future of Pop</t>
  </si>
  <si>
    <t xml:space="preserve">VID0118</t>
  </si>
  <si>
    <t xml:space="preserve">Basketball Recipe</t>
  </si>
  <si>
    <t xml:space="preserve">VID0119</t>
  </si>
  <si>
    <t xml:space="preserve">Basketball Stand Up</t>
  </si>
  <si>
    <t xml:space="preserve">VID0120</t>
  </si>
  <si>
    <t xml:space="preserve">Learn iPhone in 10 Minutes</t>
  </si>
  <si>
    <t xml:space="preserve">VID0121</t>
  </si>
  <si>
    <t xml:space="preserve">Cooking Stand Up</t>
  </si>
  <si>
    <t xml:space="preserve">UltimateMusicHub</t>
  </si>
  <si>
    <t xml:space="preserve">2026-04-09</t>
  </si>
  <si>
    <t xml:space="preserve">VID0122</t>
  </si>
  <si>
    <t xml:space="preserve">Minecraft Reaction Video</t>
  </si>
  <si>
    <t xml:space="preserve">WorldMusicStudios</t>
  </si>
  <si>
    <t xml:space="preserve">VID0123</t>
  </si>
  <si>
    <t xml:space="preserve">Basketball Fashion Tips</t>
  </si>
  <si>
    <t xml:space="preserve">TechGamingMedia</t>
  </si>
  <si>
    <t xml:space="preserve">VID0124</t>
  </si>
  <si>
    <t xml:space="preserve">Rock Animated Short</t>
  </si>
  <si>
    <t xml:space="preserve">VID0125</t>
  </si>
  <si>
    <t xml:space="preserve">Fitness Discussion</t>
  </si>
  <si>
    <t xml:space="preserve">OfficialLifeHub</t>
  </si>
  <si>
    <t xml:space="preserve">VID0126</t>
  </si>
  <si>
    <t xml:space="preserve">Makeup Championship</t>
  </si>
  <si>
    <t xml:space="preserve">ProReviewProduction</t>
  </si>
  <si>
    <t xml:space="preserve">2026-03-31</t>
  </si>
  <si>
    <t xml:space="preserve">VID0127</t>
  </si>
  <si>
    <t xml:space="preserve">Minecraft Music Mix</t>
  </si>
  <si>
    <t xml:space="preserve">VID0128</t>
  </si>
  <si>
    <t xml:space="preserve">Pop Q&amp;A</t>
  </si>
  <si>
    <t xml:space="preserve">WorldComedyChannel</t>
  </si>
  <si>
    <t xml:space="preserve">VID0129</t>
  </si>
  <si>
    <t xml:space="preserve">Best Football Plays</t>
  </si>
  <si>
    <t xml:space="preserve">2026-03-10</t>
  </si>
  <si>
    <t xml:space="preserve">VID0130</t>
  </si>
  <si>
    <t xml:space="preserve">Travel Tutorial</t>
  </si>
  <si>
    <t xml:space="preserve">VID0131</t>
  </si>
  <si>
    <t xml:space="preserve">Fitness Analysis</t>
  </si>
  <si>
    <t xml:space="preserve">BestReviewTV</t>
  </si>
  <si>
    <t xml:space="preserve">VID0132</t>
  </si>
  <si>
    <t xml:space="preserve">Python Challenge</t>
  </si>
  <si>
    <t xml:space="preserve">VID0133</t>
  </si>
  <si>
    <t xml:space="preserve">Cooking Music Mix</t>
  </si>
  <si>
    <t xml:space="preserve">DailyVlogProduction</t>
  </si>
  <si>
    <t xml:space="preserve">VID0134</t>
  </si>
  <si>
    <t xml:space="preserve">Pop Life Update</t>
  </si>
  <si>
    <t xml:space="preserve">VID0135</t>
  </si>
  <si>
    <t xml:space="preserve">Best AI Songs 2026</t>
  </si>
  <si>
    <t xml:space="preserve">ProNewsZone</t>
  </si>
  <si>
    <t xml:space="preserve">VID0136</t>
  </si>
  <si>
    <t xml:space="preserve">Cooking Tutorial</t>
  </si>
  <si>
    <t xml:space="preserve">BestComedyHub</t>
  </si>
  <si>
    <t xml:space="preserve">VID0137</t>
  </si>
  <si>
    <t xml:space="preserve">FIFA Fashion Tips</t>
  </si>
  <si>
    <t xml:space="preserve">VID0138</t>
  </si>
  <si>
    <t xml:space="preserve">Python Latest Updates</t>
  </si>
  <si>
    <t xml:space="preserve">VID0139</t>
  </si>
  <si>
    <t xml:space="preserve">VID0140</t>
  </si>
  <si>
    <t xml:space="preserve">Fitness Complete Guide</t>
  </si>
  <si>
    <t xml:space="preserve">VID0141</t>
  </si>
  <si>
    <t xml:space="preserve">Minecraft Official Video</t>
  </si>
  <si>
    <t xml:space="preserve">SuperTechHub</t>
  </si>
  <si>
    <t xml:space="preserve">VID0142</t>
  </si>
  <si>
    <t xml:space="preserve">Travel Live Performance</t>
  </si>
  <si>
    <t xml:space="preserve">EpicGamingNetwork</t>
  </si>
  <si>
    <t xml:space="preserve">VID0143</t>
  </si>
  <si>
    <t xml:space="preserve">Football Review</t>
  </si>
  <si>
    <t xml:space="preserve">ProEntertainmentOfficial</t>
  </si>
  <si>
    <t xml:space="preserve">VID0144</t>
  </si>
  <si>
    <t xml:space="preserve">FIFA Full Movie</t>
  </si>
  <si>
    <t xml:space="preserve">TechMusicOfficial</t>
  </si>
  <si>
    <t xml:space="preserve">VID0145</t>
  </si>
  <si>
    <t xml:space="preserve">Rock Breaking News</t>
  </si>
  <si>
    <t xml:space="preserve">EpicNewsWorld</t>
  </si>
  <si>
    <t xml:space="preserve">VID0146</t>
  </si>
  <si>
    <t xml:space="preserve">VID0147</t>
  </si>
  <si>
    <t xml:space="preserve">Basketball Tutorial</t>
  </si>
  <si>
    <t xml:space="preserve">2026-02-10</t>
  </si>
  <si>
    <t xml:space="preserve">VID0148</t>
  </si>
  <si>
    <t xml:space="preserve">Travel Trailer</t>
  </si>
  <si>
    <t xml:space="preserve">VID0149</t>
  </si>
  <si>
    <t xml:space="preserve">Best Basketball Songs 2026</t>
  </si>
  <si>
    <t xml:space="preserve">2026-01-07</t>
  </si>
  <si>
    <t xml:space="preserve">VID0150</t>
  </si>
  <si>
    <t xml:space="preserve">Python Official Video</t>
  </si>
  <si>
    <t xml:space="preserve">VID0151</t>
  </si>
  <si>
    <t xml:space="preserve">Top Fortnite Cars 2026</t>
  </si>
  <si>
    <t xml:space="preserve">TopSportsMedia</t>
  </si>
  <si>
    <t xml:space="preserve">VID0152</t>
  </si>
  <si>
    <t xml:space="preserve">Python Analysis</t>
  </si>
  <si>
    <t xml:space="preserve">2026-02-05</t>
  </si>
  <si>
    <t xml:space="preserve">VID0153</t>
  </si>
  <si>
    <t xml:space="preserve">AI Official Video</t>
  </si>
  <si>
    <t xml:space="preserve">VID0154</t>
  </si>
  <si>
    <t xml:space="preserve">Rock Live Performance</t>
  </si>
  <si>
    <t xml:space="preserve">VID0155</t>
  </si>
  <si>
    <t xml:space="preserve">2026-03-04</t>
  </si>
  <si>
    <t xml:space="preserve">VID0156</t>
  </si>
  <si>
    <t xml:space="preserve">Python Memes Compilation</t>
  </si>
  <si>
    <t xml:space="preserve">WorldGamingOfficial</t>
  </si>
  <si>
    <t xml:space="preserve">2026-01-18</t>
  </si>
  <si>
    <t xml:space="preserve">VID0157</t>
  </si>
  <si>
    <t xml:space="preserve">iPhone Memes Compilation</t>
  </si>
  <si>
    <t xml:space="preserve">VID0158</t>
  </si>
  <si>
    <t xml:space="preserve">Python Reaction Video</t>
  </si>
  <si>
    <t xml:space="preserve">TopTechProduction</t>
  </si>
  <si>
    <t xml:space="preserve">VID0159</t>
  </si>
  <si>
    <t xml:space="preserve">Football Live Performance</t>
  </si>
  <si>
    <t xml:space="preserve">VID0160</t>
  </si>
  <si>
    <t xml:space="preserve">Minecraft Explained</t>
  </si>
  <si>
    <t xml:space="preserve">MasterReviewWorld</t>
  </si>
  <si>
    <t xml:space="preserve">VID0161</t>
  </si>
  <si>
    <t xml:space="preserve">2026-03-28</t>
  </si>
  <si>
    <t xml:space="preserve">VID0162</t>
  </si>
  <si>
    <t xml:space="preserve">Best Minecraft Ideas</t>
  </si>
  <si>
    <t xml:space="preserve">VID0163</t>
  </si>
  <si>
    <t xml:space="preserve">TechVlogMedia</t>
  </si>
  <si>
    <t xml:space="preserve">VID0164</t>
  </si>
  <si>
    <t xml:space="preserve">Football Comparison</t>
  </si>
  <si>
    <t xml:space="preserve">VID0165</t>
  </si>
  <si>
    <t xml:space="preserve">Best Rock Compilation</t>
  </si>
  <si>
    <t xml:space="preserve">WorldSportsTV</t>
  </si>
  <si>
    <t xml:space="preserve">VID0166</t>
  </si>
  <si>
    <t xml:space="preserve">Cooking Full Movie</t>
  </si>
  <si>
    <t xml:space="preserve">2026-01-16</t>
  </si>
  <si>
    <t xml:space="preserve">VID0167</t>
  </si>
  <si>
    <t xml:space="preserve">VID0168</t>
  </si>
  <si>
    <t xml:space="preserve">Makeup Makeup Tutorial</t>
  </si>
  <si>
    <t xml:space="preserve">MasterSportsNetwork</t>
  </si>
  <si>
    <t xml:space="preserve">VID0169</t>
  </si>
  <si>
    <t xml:space="preserve">Fortnite Q&amp;A</t>
  </si>
  <si>
    <t xml:space="preserve">VID0170</t>
  </si>
  <si>
    <t xml:space="preserve">AI Behind the Scenes</t>
  </si>
  <si>
    <t xml:space="preserve">SuperComedyProduction</t>
  </si>
  <si>
    <t xml:space="preserve">VID0171</t>
  </si>
  <si>
    <t xml:space="preserve">UltimateComedyWorld</t>
  </si>
  <si>
    <t xml:space="preserve">VID0172</t>
  </si>
  <si>
    <t xml:space="preserve">Pop Discussion</t>
  </si>
  <si>
    <t xml:space="preserve">VID0173</t>
  </si>
  <si>
    <t xml:space="preserve">Cooking Latest Updates</t>
  </si>
  <si>
    <t xml:space="preserve">VID0174</t>
  </si>
  <si>
    <t xml:space="preserve">How to Minecraft</t>
  </si>
  <si>
    <t xml:space="preserve">VID0175</t>
  </si>
  <si>
    <t xml:space="preserve">VID0176</t>
  </si>
  <si>
    <t xml:space="preserve">Best Cooking Ideas</t>
  </si>
  <si>
    <t xml:space="preserve">VID0177</t>
  </si>
  <si>
    <t xml:space="preserve">Pro Python Tricks</t>
  </si>
  <si>
    <t xml:space="preserve">VID0178</t>
  </si>
  <si>
    <t xml:space="preserve">Minecraft Life Update</t>
  </si>
  <si>
    <t xml:space="preserve">OfficialComedyWorld</t>
  </si>
  <si>
    <t xml:space="preserve">VID0179</t>
  </si>
  <si>
    <t xml:space="preserve">AI Review</t>
  </si>
  <si>
    <t xml:space="preserve">VID0180</t>
  </si>
  <si>
    <t xml:space="preserve">FIFA Life Update</t>
  </si>
  <si>
    <t xml:space="preserve">VID0181</t>
  </si>
  <si>
    <t xml:space="preserve">Rock Life Update</t>
  </si>
  <si>
    <t xml:space="preserve">2026-04-15</t>
  </si>
  <si>
    <t xml:space="preserve">VID0182</t>
  </si>
  <si>
    <t xml:space="preserve">Fitness Explained</t>
  </si>
  <si>
    <t xml:space="preserve">VID0183</t>
  </si>
  <si>
    <t xml:space="preserve">VID0184</t>
  </si>
  <si>
    <t xml:space="preserve">DIY FIFA</t>
  </si>
  <si>
    <t xml:space="preserve">VID0185</t>
  </si>
  <si>
    <t xml:space="preserve">Football Challenge</t>
  </si>
  <si>
    <t xml:space="preserve">WorldEntertainmentMedia</t>
  </si>
  <si>
    <t xml:space="preserve">VID0186</t>
  </si>
  <si>
    <t xml:space="preserve">VID0187</t>
  </si>
  <si>
    <t xml:space="preserve">Travel Comparison</t>
  </si>
  <si>
    <t xml:space="preserve">TopNewsNetwork</t>
  </si>
  <si>
    <t xml:space="preserve">VID0188</t>
  </si>
  <si>
    <t xml:space="preserve">iPhone Reaction Video</t>
  </si>
  <si>
    <t xml:space="preserve">TechComedyHub</t>
  </si>
  <si>
    <t xml:space="preserve">VID0189</t>
  </si>
  <si>
    <t xml:space="preserve">AI Memes Compilation</t>
  </si>
  <si>
    <t xml:space="preserve">VID0190</t>
  </si>
  <si>
    <t xml:space="preserve">Pop Live Performance</t>
  </si>
  <si>
    <t xml:space="preserve">WorldReviewProduction</t>
  </si>
  <si>
    <t xml:space="preserve">VID0191</t>
  </si>
  <si>
    <t xml:space="preserve">Android Trailer</t>
  </si>
  <si>
    <t xml:space="preserve">DailySportsChannel</t>
  </si>
  <si>
    <t xml:space="preserve">VID0192</t>
  </si>
  <si>
    <t xml:space="preserve">Best Makeup Moments</t>
  </si>
  <si>
    <t xml:space="preserve">VID0193</t>
  </si>
  <si>
    <t xml:space="preserve">Basketball Reaction Video</t>
  </si>
  <si>
    <t xml:space="preserve">VID0194</t>
  </si>
  <si>
    <t xml:space="preserve">Football Live Stream</t>
  </si>
  <si>
    <t xml:space="preserve">2026-03-17</t>
  </si>
  <si>
    <t xml:space="preserve">VID0195</t>
  </si>
  <si>
    <t xml:space="preserve">Android Live Performance</t>
  </si>
  <si>
    <t xml:space="preserve">VID0196</t>
  </si>
  <si>
    <t xml:space="preserve">Minecraft Prank</t>
  </si>
  <si>
    <t xml:space="preserve">VID0197</t>
  </si>
  <si>
    <t xml:space="preserve">My Pop Story</t>
  </si>
  <si>
    <t xml:space="preserve">VID0198</t>
  </si>
  <si>
    <t xml:space="preserve">Fitness Behind the Scenes</t>
  </si>
  <si>
    <t xml:space="preserve">VID0199</t>
  </si>
  <si>
    <t xml:space="preserve">Top Cooking Gadgets</t>
  </si>
  <si>
    <t xml:space="preserve">VID0200</t>
  </si>
  <si>
    <t xml:space="preserve">Fortnite Makeup Tutorial</t>
  </si>
  <si>
    <t xml:space="preserve">BestEntertainmentNetwork</t>
  </si>
  <si>
    <t xml:space="preserve">VID0201</t>
  </si>
  <si>
    <t xml:space="preserve">Best Android Songs 2026</t>
  </si>
  <si>
    <t xml:space="preserve">VID0202</t>
  </si>
  <si>
    <t xml:space="preserve">Python Explained</t>
  </si>
  <si>
    <t xml:space="preserve">2026-01-05</t>
  </si>
  <si>
    <t xml:space="preserve">VID0203</t>
  </si>
  <si>
    <t xml:space="preserve">Android Memes Compilation</t>
  </si>
  <si>
    <t xml:space="preserve">TVVlogChannel</t>
  </si>
  <si>
    <t xml:space="preserve">VID0204</t>
  </si>
  <si>
    <t xml:space="preserve">Future of Fortnite</t>
  </si>
  <si>
    <t xml:space="preserve">VID0205</t>
  </si>
  <si>
    <t xml:space="preserve">Pop Masterclass</t>
  </si>
  <si>
    <t xml:space="preserve">VID0206</t>
  </si>
  <si>
    <t xml:space="preserve">2026-01-06</t>
  </si>
  <si>
    <t xml:space="preserve">VID0207</t>
  </si>
  <si>
    <t xml:space="preserve">Funny Makeup Skits</t>
  </si>
  <si>
    <t xml:space="preserve">VID0208</t>
  </si>
  <si>
    <t xml:space="preserve">2026-03-26</t>
  </si>
  <si>
    <t xml:space="preserve">VID0209</t>
  </si>
  <si>
    <t xml:space="preserve">VID0210</t>
  </si>
  <si>
    <t xml:space="preserve">VID0211</t>
  </si>
  <si>
    <t xml:space="preserve">Best Fortnite Ideas</t>
  </si>
  <si>
    <t xml:space="preserve">VID0212</t>
  </si>
  <si>
    <t xml:space="preserve">Football Makeup Tutorial</t>
  </si>
  <si>
    <t xml:space="preserve">UltimateComedyNetwork</t>
  </si>
  <si>
    <t xml:space="preserve">VID0213</t>
  </si>
  <si>
    <t xml:space="preserve">Best Makeup Songs 2026</t>
  </si>
  <si>
    <t xml:space="preserve">TechNewsChannel</t>
  </si>
  <si>
    <t xml:space="preserve">VID0214</t>
  </si>
  <si>
    <t xml:space="preserve">BestSportsZone</t>
  </si>
  <si>
    <t xml:space="preserve">VID0215</t>
  </si>
  <si>
    <t xml:space="preserve">Android Explained</t>
  </si>
  <si>
    <t xml:space="preserve">VID0216</t>
  </si>
  <si>
    <t xml:space="preserve">Travel Review</t>
  </si>
  <si>
    <t xml:space="preserve">OfficialNewsOfficial</t>
  </si>
  <si>
    <t xml:space="preserve">VID0217</t>
  </si>
  <si>
    <t xml:space="preserve">EpicComedyMedia</t>
  </si>
  <si>
    <t xml:space="preserve">VID0218</t>
  </si>
  <si>
    <t xml:space="preserve">Makeup Official Video</t>
  </si>
  <si>
    <t xml:space="preserve">EpicComedyProduction</t>
  </si>
  <si>
    <t xml:space="preserve">VID0219</t>
  </si>
  <si>
    <t xml:space="preserve">UltimateReviewHub</t>
  </si>
  <si>
    <t xml:space="preserve">VID0220</t>
  </si>
  <si>
    <t xml:space="preserve">AI Comedy Show</t>
  </si>
  <si>
    <t xml:space="preserve">ProEntertainmentNetwork</t>
  </si>
  <si>
    <t xml:space="preserve">VID0221</t>
  </si>
  <si>
    <t xml:space="preserve">OfficialEntertainmentNetwork</t>
  </si>
  <si>
    <t xml:space="preserve">VID0222</t>
  </si>
  <si>
    <t xml:space="preserve">TVComedyOfficial</t>
  </si>
  <si>
    <t xml:space="preserve">VID0223</t>
  </si>
  <si>
    <t xml:space="preserve">VID0224</t>
  </si>
  <si>
    <t xml:space="preserve">Funny Fitness Skits</t>
  </si>
  <si>
    <t xml:space="preserve">DailyReviewWorld</t>
  </si>
  <si>
    <t xml:space="preserve">VID0225</t>
  </si>
  <si>
    <t xml:space="preserve">Fitness Review</t>
  </si>
  <si>
    <t xml:space="preserve">OfficialSportsMedia</t>
  </si>
  <si>
    <t xml:space="preserve">VID0226</t>
  </si>
  <si>
    <t xml:space="preserve">Top 10 Basketball Tips</t>
  </si>
  <si>
    <t xml:space="preserve">MasterComedyZone</t>
  </si>
  <si>
    <t xml:space="preserve">VID0227</t>
  </si>
  <si>
    <t xml:space="preserve">Top 10 Travel Tips</t>
  </si>
  <si>
    <t xml:space="preserve">VID0228</t>
  </si>
  <si>
    <t xml:space="preserve">VID0229</t>
  </si>
  <si>
    <t xml:space="preserve">Cooking Roast</t>
  </si>
  <si>
    <t xml:space="preserve">VID0230</t>
  </si>
  <si>
    <t xml:space="preserve">VID0231</t>
  </si>
  <si>
    <t xml:space="preserve">Android Interview</t>
  </si>
  <si>
    <t xml:space="preserve">VID0232</t>
  </si>
  <si>
    <t xml:space="preserve">Fitness Animated Short</t>
  </si>
  <si>
    <t xml:space="preserve">SuperTechProduction</t>
  </si>
  <si>
    <t xml:space="preserve">VID0233</t>
  </si>
  <si>
    <t xml:space="preserve">Basketball Behind the Scenes</t>
  </si>
  <si>
    <t xml:space="preserve">VID0234</t>
  </si>
  <si>
    <t xml:space="preserve">Top Python Cars 2026</t>
  </si>
  <si>
    <t xml:space="preserve">VID0235</t>
  </si>
  <si>
    <t xml:space="preserve">Pop Official Video</t>
  </si>
  <si>
    <t xml:space="preserve">VID0236</t>
  </si>
  <si>
    <t xml:space="preserve">Android Music Mix</t>
  </si>
  <si>
    <t xml:space="preserve">VID0237</t>
  </si>
  <si>
    <t xml:space="preserve">Basketball Life Update</t>
  </si>
  <si>
    <t xml:space="preserve">VID0238</t>
  </si>
  <si>
    <t xml:space="preserve">Cooking Explained</t>
  </si>
  <si>
    <t xml:space="preserve">VID0239</t>
  </si>
  <si>
    <t xml:space="preserve">WorldVlogProduction</t>
  </si>
  <si>
    <t xml:space="preserve">VID0240</t>
  </si>
  <si>
    <t xml:space="preserve">Android Animated Short</t>
  </si>
  <si>
    <t xml:space="preserve">VID0241</t>
  </si>
  <si>
    <t xml:space="preserve">TopSportsTV</t>
  </si>
  <si>
    <t xml:space="preserve">VID0242</t>
  </si>
  <si>
    <t xml:space="preserve">VID0243</t>
  </si>
  <si>
    <t xml:space="preserve">Makeup Fashion Tips</t>
  </si>
  <si>
    <t xml:space="preserve">TopMusicWorld</t>
  </si>
  <si>
    <t xml:space="preserve">VID0244</t>
  </si>
  <si>
    <t xml:space="preserve">Travel Vlog</t>
  </si>
  <si>
    <t xml:space="preserve">2026-05-13</t>
  </si>
  <si>
    <t xml:space="preserve">VID0245</t>
  </si>
  <si>
    <t xml:space="preserve">Best Fitness Songs 2026</t>
  </si>
  <si>
    <t xml:space="preserve">VID0246</t>
  </si>
  <si>
    <t xml:space="preserve">Pop Test Drive</t>
  </si>
  <si>
    <t xml:space="preserve">VID0247</t>
  </si>
  <si>
    <t xml:space="preserve">VID0248</t>
  </si>
  <si>
    <t xml:space="preserve">VID0249</t>
  </si>
  <si>
    <t xml:space="preserve">Pop Behind the Scenes</t>
  </si>
  <si>
    <t xml:space="preserve">VID0250</t>
  </si>
  <si>
    <t xml:space="preserve">VID0251</t>
  </si>
  <si>
    <t xml:space="preserve">Best Pop Moments</t>
  </si>
  <si>
    <t xml:space="preserve">VID0252</t>
  </si>
  <si>
    <t xml:space="preserve">How to FIFA</t>
  </si>
  <si>
    <t xml:space="preserve">2026-03-23</t>
  </si>
  <si>
    <t xml:space="preserve">VID0253</t>
  </si>
  <si>
    <t xml:space="preserve">Pro Fitness Tricks</t>
  </si>
  <si>
    <t xml:space="preserve">TopGamingMedia</t>
  </si>
  <si>
    <t xml:space="preserve">VID0254</t>
  </si>
  <si>
    <t xml:space="preserve">Cooking Masterclass</t>
  </si>
  <si>
    <t xml:space="preserve">VID0255</t>
  </si>
  <si>
    <t xml:space="preserve">Football Official Video</t>
  </si>
  <si>
    <t xml:space="preserve">VID0256</t>
  </si>
  <si>
    <t xml:space="preserve">FIFA Challenge</t>
  </si>
  <si>
    <t xml:space="preserve">VID0257</t>
  </si>
  <si>
    <t xml:space="preserve">Python Championship</t>
  </si>
  <si>
    <t xml:space="preserve">SuperEntertainmentChannel</t>
  </si>
  <si>
    <t xml:space="preserve">VID0258</t>
  </si>
  <si>
    <t xml:space="preserve">ProGamingZone</t>
  </si>
  <si>
    <t xml:space="preserve">VID0259</t>
  </si>
  <si>
    <t xml:space="preserve">VID0260</t>
  </si>
  <si>
    <t xml:space="preserve">TVReviewMedia</t>
  </si>
  <si>
    <t xml:space="preserve">2026-03-08</t>
  </si>
  <si>
    <t xml:space="preserve">VID0261</t>
  </si>
  <si>
    <t xml:space="preserve">VID0262</t>
  </si>
  <si>
    <t xml:space="preserve">Basketball Review</t>
  </si>
  <si>
    <t xml:space="preserve">VID0263</t>
  </si>
  <si>
    <t xml:space="preserve">VID0264</t>
  </si>
  <si>
    <t xml:space="preserve">Football Concert</t>
  </si>
  <si>
    <t xml:space="preserve">EpicNewsHub</t>
  </si>
  <si>
    <t xml:space="preserve">VID0265</t>
  </si>
  <si>
    <t xml:space="preserve">Makeup Music Mix</t>
  </si>
  <si>
    <t xml:space="preserve">VID0266</t>
  </si>
  <si>
    <t xml:space="preserve">Best Rock Plays</t>
  </si>
  <si>
    <t xml:space="preserve">DailyNewsNetwork</t>
  </si>
  <si>
    <t xml:space="preserve">VID0267</t>
  </si>
  <si>
    <t xml:space="preserve">Travel Behind the Scenes</t>
  </si>
  <si>
    <t xml:space="preserve">VID0268</t>
  </si>
  <si>
    <t xml:space="preserve">VID0269</t>
  </si>
  <si>
    <t xml:space="preserve">Best AI Plays</t>
  </si>
  <si>
    <t xml:space="preserve">ProSportsWorld</t>
  </si>
  <si>
    <t xml:space="preserve">VID0270</t>
  </si>
  <si>
    <t xml:space="preserve">ProMusicMedia</t>
  </si>
  <si>
    <t xml:space="preserve">VID0271</t>
  </si>
  <si>
    <t xml:space="preserve">VID0272</t>
  </si>
  <si>
    <t xml:space="preserve">Best Fitness Compilation</t>
  </si>
  <si>
    <t xml:space="preserve">TechSportsZone</t>
  </si>
  <si>
    <t xml:space="preserve">VID0273</t>
  </si>
  <si>
    <t xml:space="preserve">Minecraft Review</t>
  </si>
  <si>
    <t xml:space="preserve">EpicTechStudios</t>
  </si>
  <si>
    <t xml:space="preserve">VID0274</t>
  </si>
  <si>
    <t xml:space="preserve">Best Travel Compilation</t>
  </si>
  <si>
    <t xml:space="preserve">VID0275</t>
  </si>
  <si>
    <t xml:space="preserve">VID0276</t>
  </si>
  <si>
    <t xml:space="preserve">Fitness Interview</t>
  </si>
  <si>
    <t xml:space="preserve">VID0277</t>
  </si>
  <si>
    <t xml:space="preserve">VID0278</t>
  </si>
  <si>
    <t xml:space="preserve">Funny Minecraft Skits</t>
  </si>
  <si>
    <t xml:space="preserve">EpicLifeProduction</t>
  </si>
  <si>
    <t xml:space="preserve">VID0279</t>
  </si>
  <si>
    <t xml:space="preserve">Makeup Vlog</t>
  </si>
  <si>
    <t xml:space="preserve">DailySportsHub</t>
  </si>
  <si>
    <t xml:space="preserve">VID0280</t>
  </si>
  <si>
    <t xml:space="preserve">DIY Fortnite</t>
  </si>
  <si>
    <t xml:space="preserve">VID0281</t>
  </si>
  <si>
    <t xml:space="preserve">AI Analysis</t>
  </si>
  <si>
    <t xml:space="preserve">UltimateReviewOfficial</t>
  </si>
  <si>
    <t xml:space="preserve">VID0282</t>
  </si>
  <si>
    <t xml:space="preserve">Minecraft Analysis</t>
  </si>
  <si>
    <t xml:space="preserve">VID0283</t>
  </si>
  <si>
    <t xml:space="preserve">Android Concert</t>
  </si>
  <si>
    <t xml:space="preserve">VID0284</t>
  </si>
  <si>
    <t xml:space="preserve">iPhone Test Drive</t>
  </si>
  <si>
    <t xml:space="preserve">VID0285</t>
  </si>
  <si>
    <t xml:space="preserve">SuperComedyNetwork</t>
  </si>
  <si>
    <t xml:space="preserve">VID0286</t>
  </si>
  <si>
    <t xml:space="preserve">Top Football Cars 2026</t>
  </si>
  <si>
    <t xml:space="preserve">VID0287</t>
  </si>
  <si>
    <t xml:space="preserve">Fitness Comedy Show</t>
  </si>
  <si>
    <t xml:space="preserve">VID0288</t>
  </si>
  <si>
    <t xml:space="preserve">Pop Animated Short</t>
  </si>
  <si>
    <t xml:space="preserve">VID0289</t>
  </si>
  <si>
    <t xml:space="preserve">Basketball Roast</t>
  </si>
  <si>
    <t xml:space="preserve">VID0290</t>
  </si>
  <si>
    <t xml:space="preserve">Basketball Complete Guide</t>
  </si>
  <si>
    <t xml:space="preserve">VID0291</t>
  </si>
  <si>
    <t xml:space="preserve">VID0292</t>
  </si>
  <si>
    <t xml:space="preserve">iPhone Recipe</t>
  </si>
  <si>
    <t xml:space="preserve">VID0293</t>
  </si>
  <si>
    <t xml:space="preserve">Cooking Complete Guide</t>
  </si>
  <si>
    <t xml:space="preserve">VID0294</t>
  </si>
  <si>
    <t xml:space="preserve">VID0295</t>
  </si>
  <si>
    <t xml:space="preserve">Minecraft Live Stream</t>
  </si>
  <si>
    <t xml:space="preserve">VID0296</t>
  </si>
  <si>
    <t xml:space="preserve">VID0297</t>
  </si>
  <si>
    <t xml:space="preserve">Basketball Official Video</t>
  </si>
  <si>
    <t xml:space="preserve">VID0298</t>
  </si>
  <si>
    <t xml:space="preserve">VID0299</t>
  </si>
  <si>
    <t xml:space="preserve">Football Music Mix</t>
  </si>
  <si>
    <t xml:space="preserve">VID0300</t>
  </si>
  <si>
    <t xml:space="preserve">Pop Restoration</t>
  </si>
  <si>
    <t xml:space="preserve">WorldSportsChannel</t>
  </si>
  <si>
    <t xml:space="preserve">VID0301</t>
  </si>
  <si>
    <t xml:space="preserve">Rock Live Stream</t>
  </si>
  <si>
    <t xml:space="preserve">VID0302</t>
  </si>
  <si>
    <t xml:space="preserve">Minecraft Masterclass</t>
  </si>
  <si>
    <t xml:space="preserve">VID0303</t>
  </si>
  <si>
    <t xml:space="preserve">VID0304</t>
  </si>
  <si>
    <t xml:space="preserve">FIFA Gameplay</t>
  </si>
  <si>
    <t xml:space="preserve">VID0305</t>
  </si>
  <si>
    <t xml:space="preserve">VID0306</t>
  </si>
  <si>
    <t xml:space="preserve">AI Comparison</t>
  </si>
  <si>
    <t xml:space="preserve">VID0307</t>
  </si>
  <si>
    <t xml:space="preserve">Travel Challenge</t>
  </si>
  <si>
    <t xml:space="preserve">VID0308</t>
  </si>
  <si>
    <t xml:space="preserve">VID0309</t>
  </si>
  <si>
    <t xml:space="preserve">VID0310</t>
  </si>
  <si>
    <t xml:space="preserve">VID0311</t>
  </si>
  <si>
    <t xml:space="preserve">Top Minecraft Gadgets</t>
  </si>
  <si>
    <t xml:space="preserve">VID0312</t>
  </si>
  <si>
    <t xml:space="preserve">VID0313</t>
  </si>
  <si>
    <t xml:space="preserve">VID0314</t>
  </si>
  <si>
    <t xml:space="preserve">VID0315</t>
  </si>
  <si>
    <t xml:space="preserve">Pop Highlights</t>
  </si>
  <si>
    <t xml:space="preserve">VID0316</t>
  </si>
  <si>
    <t xml:space="preserve">Best FIFA Ideas</t>
  </si>
  <si>
    <t xml:space="preserve">VID0317</t>
  </si>
  <si>
    <t xml:space="preserve">VID0318</t>
  </si>
  <si>
    <t xml:space="preserve">Pop Funny Moments</t>
  </si>
  <si>
    <t xml:space="preserve">VID0319</t>
  </si>
  <si>
    <t xml:space="preserve">VID0320</t>
  </si>
  <si>
    <t xml:space="preserve">Makeup Roast</t>
  </si>
  <si>
    <t xml:space="preserve">VID0321</t>
  </si>
  <si>
    <t xml:space="preserve">TopComedyProduction</t>
  </si>
  <si>
    <t xml:space="preserve">VID0322</t>
  </si>
  <si>
    <t xml:space="preserve">Travel Reaction Video</t>
  </si>
  <si>
    <t xml:space="preserve">TVLifeProduction</t>
  </si>
  <si>
    <t xml:space="preserve">VID0323</t>
  </si>
  <si>
    <t xml:space="preserve">Best Fortnite Compilation</t>
  </si>
  <si>
    <t xml:space="preserve">VID0324</t>
  </si>
  <si>
    <t xml:space="preserve">VID0325</t>
  </si>
  <si>
    <t xml:space="preserve">VID0326</t>
  </si>
  <si>
    <t xml:space="preserve">Python Daily Routine</t>
  </si>
  <si>
    <t xml:space="preserve">VID0327</t>
  </si>
  <si>
    <t xml:space="preserve">Fortnite Full Movie</t>
  </si>
  <si>
    <t xml:space="preserve">VID0328</t>
  </si>
  <si>
    <t xml:space="preserve">Fitness Makeup Tutorial</t>
  </si>
  <si>
    <t xml:space="preserve">OfficialGamingNetwork</t>
  </si>
  <si>
    <t xml:space="preserve">VID0329</t>
  </si>
  <si>
    <t xml:space="preserve">Best Pop Compilation</t>
  </si>
  <si>
    <t xml:space="preserve">VID0330</t>
  </si>
  <si>
    <t xml:space="preserve">VID0331</t>
  </si>
  <si>
    <t xml:space="preserve">Best Travel Ideas</t>
  </si>
  <si>
    <t xml:space="preserve">VID0332</t>
  </si>
  <si>
    <t xml:space="preserve">iPhone Live Stream</t>
  </si>
  <si>
    <t xml:space="preserve">VID0333</t>
  </si>
  <si>
    <t xml:space="preserve">VID0334</t>
  </si>
  <si>
    <t xml:space="preserve">Funny Rock Skits</t>
  </si>
  <si>
    <t xml:space="preserve">VID0335</t>
  </si>
  <si>
    <t xml:space="preserve">Android Makeup Tutorial</t>
  </si>
  <si>
    <t xml:space="preserve">VID0336</t>
  </si>
  <si>
    <t xml:space="preserve">Travel Gameplay</t>
  </si>
  <si>
    <t xml:space="preserve">VID0337</t>
  </si>
  <si>
    <t xml:space="preserve">FIFA Highlights</t>
  </si>
  <si>
    <t xml:space="preserve">VID0338</t>
  </si>
  <si>
    <t xml:space="preserve">Makeup Breaking News</t>
  </si>
  <si>
    <t xml:space="preserve">VID0339</t>
  </si>
  <si>
    <t xml:space="preserve">VID0340</t>
  </si>
  <si>
    <t xml:space="preserve">VID0341</t>
  </si>
  <si>
    <t xml:space="preserve">VID0342</t>
  </si>
  <si>
    <t xml:space="preserve">Top Rock Gadgets</t>
  </si>
  <si>
    <t xml:space="preserve">VID0343</t>
  </si>
  <si>
    <t xml:space="preserve">Learn Makeup in 10 Minutes</t>
  </si>
  <si>
    <t xml:space="preserve">VID0344</t>
  </si>
  <si>
    <t xml:space="preserve">VID0345</t>
  </si>
  <si>
    <t xml:space="preserve">Fortnite Breaking News</t>
  </si>
  <si>
    <t xml:space="preserve">VID0346</t>
  </si>
  <si>
    <t xml:space="preserve">Python Q&amp;A</t>
  </si>
  <si>
    <t xml:space="preserve">TopComedyHub</t>
  </si>
  <si>
    <t xml:space="preserve">VID0347</t>
  </si>
  <si>
    <t xml:space="preserve">VID0348</t>
  </si>
  <si>
    <t xml:space="preserve">OfficialComedyMedia</t>
  </si>
  <si>
    <t xml:space="preserve">VID0349</t>
  </si>
  <si>
    <t xml:space="preserve">VID0350</t>
  </si>
  <si>
    <t xml:space="preserve">VID0351</t>
  </si>
  <si>
    <t xml:space="preserve">Fitness Restoration</t>
  </si>
  <si>
    <t xml:space="preserve">WorldReviewWorld</t>
  </si>
  <si>
    <t xml:space="preserve">VID0352</t>
  </si>
  <si>
    <t xml:space="preserve">VID0353</t>
  </si>
  <si>
    <t xml:space="preserve">Fitness Comparison</t>
  </si>
  <si>
    <t xml:space="preserve">VID0354</t>
  </si>
  <si>
    <t xml:space="preserve">AI Vlog</t>
  </si>
  <si>
    <t xml:space="preserve">TVSportsWorld</t>
  </si>
  <si>
    <t xml:space="preserve">2026-04-20</t>
  </si>
  <si>
    <t xml:space="preserve">VID0355</t>
  </si>
  <si>
    <t xml:space="preserve">Top Fitness Gadgets</t>
  </si>
  <si>
    <t xml:space="preserve">VID0356</t>
  </si>
  <si>
    <t xml:space="preserve">VID0357</t>
  </si>
  <si>
    <t xml:space="preserve">Makeup Funny Moments</t>
  </si>
  <si>
    <t xml:space="preserve">VID0358</t>
  </si>
  <si>
    <t xml:space="preserve">Python Fashion Tips</t>
  </si>
  <si>
    <t xml:space="preserve">VID0359</t>
  </si>
  <si>
    <t xml:space="preserve">VID0360</t>
  </si>
  <si>
    <t xml:space="preserve">Python Full Movie</t>
  </si>
  <si>
    <t xml:space="preserve">VID0361</t>
  </si>
  <si>
    <t xml:space="preserve">VID0362</t>
  </si>
  <si>
    <t xml:space="preserve">Football Explained</t>
  </si>
  <si>
    <t xml:space="preserve">VID0363</t>
  </si>
  <si>
    <t xml:space="preserve">Basketball Music Mix</t>
  </si>
  <si>
    <t xml:space="preserve">VID0364</t>
  </si>
  <si>
    <t xml:space="preserve">VID0365</t>
  </si>
  <si>
    <t xml:space="preserve">Android Challenge</t>
  </si>
  <si>
    <t xml:space="preserve">VID0366</t>
  </si>
  <si>
    <t xml:space="preserve">VID0367</t>
  </si>
  <si>
    <t xml:space="preserve">Football Behind the Scenes</t>
  </si>
  <si>
    <t xml:space="preserve">VID0368</t>
  </si>
  <si>
    <t xml:space="preserve">Learn AI in 10 Minutes</t>
  </si>
  <si>
    <t xml:space="preserve">SuperVlogTV</t>
  </si>
  <si>
    <t xml:space="preserve">VID0369</t>
  </si>
  <si>
    <t xml:space="preserve">AI Prank</t>
  </si>
  <si>
    <t xml:space="preserve">TopEntertainmentWorld</t>
  </si>
  <si>
    <t xml:space="preserve">2026-04-19</t>
  </si>
  <si>
    <t xml:space="preserve">VID0370</t>
  </si>
  <si>
    <t xml:space="preserve">iPhone Vlog</t>
  </si>
  <si>
    <t xml:space="preserve">VID0371</t>
  </si>
  <si>
    <t xml:space="preserve">Android Q&amp;A</t>
  </si>
  <si>
    <t xml:space="preserve">VID0372</t>
  </si>
  <si>
    <t xml:space="preserve">Python Live Performance</t>
  </si>
  <si>
    <t xml:space="preserve">VID0373</t>
  </si>
  <si>
    <t xml:space="preserve">VID0374</t>
  </si>
  <si>
    <t xml:space="preserve">Minecraft Breaking News</t>
  </si>
  <si>
    <t xml:space="preserve">VID0375</t>
  </si>
  <si>
    <t xml:space="preserve">VID0376</t>
  </si>
  <si>
    <t xml:space="preserve">VID0377</t>
  </si>
  <si>
    <t xml:space="preserve">Minecraft Championship</t>
  </si>
  <si>
    <t xml:space="preserve">VID0378</t>
  </si>
  <si>
    <t xml:space="preserve">VID0379</t>
  </si>
  <si>
    <t xml:space="preserve">Minecraft Q&amp;A</t>
  </si>
  <si>
    <t xml:space="preserve">VID0380</t>
  </si>
  <si>
    <t xml:space="preserve">Fitness Funny Moments</t>
  </si>
  <si>
    <t xml:space="preserve">VID0381</t>
  </si>
  <si>
    <t xml:space="preserve">VID0382</t>
  </si>
  <si>
    <t xml:space="preserve">iPhone Funny Moments</t>
  </si>
  <si>
    <t xml:space="preserve">VID0383</t>
  </si>
  <si>
    <t xml:space="preserve">VID0384</t>
  </si>
  <si>
    <t xml:space="preserve">Best FIFA Plays</t>
  </si>
  <si>
    <t xml:space="preserve">EpicComedyTV</t>
  </si>
  <si>
    <t xml:space="preserve">VID0385</t>
  </si>
  <si>
    <t xml:space="preserve">ProLifeZone</t>
  </si>
  <si>
    <t xml:space="preserve">VID0386</t>
  </si>
  <si>
    <t xml:space="preserve">Android Highlights</t>
  </si>
  <si>
    <t xml:space="preserve">VID0387</t>
  </si>
  <si>
    <t xml:space="preserve">My FIFA Story</t>
  </si>
  <si>
    <t xml:space="preserve">VID0388</t>
  </si>
  <si>
    <t xml:space="preserve">TechTechOfficial</t>
  </si>
  <si>
    <t xml:space="preserve">VID0389</t>
  </si>
  <si>
    <t xml:space="preserve">Cooking Highlights</t>
  </si>
  <si>
    <t xml:space="preserve">VID0390</t>
  </si>
  <si>
    <t xml:space="preserve">VID0391</t>
  </si>
  <si>
    <t xml:space="preserve">Makeup Life Update</t>
  </si>
  <si>
    <t xml:space="preserve">VID0392</t>
  </si>
  <si>
    <t xml:space="preserve">AI Makeup Tutorial</t>
  </si>
  <si>
    <t xml:space="preserve">VID0393</t>
  </si>
  <si>
    <t xml:space="preserve">VID0394</t>
  </si>
  <si>
    <t xml:space="preserve">VID0395</t>
  </si>
  <si>
    <t xml:space="preserve">Python Trailer</t>
  </si>
  <si>
    <t xml:space="preserve">VID0396</t>
  </si>
  <si>
    <t xml:space="preserve">Cooking Gameplay</t>
  </si>
  <si>
    <t xml:space="preserve">VID0397</t>
  </si>
  <si>
    <t xml:space="preserve">FIFA Funny Moments</t>
  </si>
  <si>
    <t xml:space="preserve">VID0398</t>
  </si>
  <si>
    <t xml:space="preserve">Python Masterclass</t>
  </si>
  <si>
    <t xml:space="preserve">2026-01-15</t>
  </si>
  <si>
    <t xml:space="preserve">VID0399</t>
  </si>
  <si>
    <t xml:space="preserve">Fitness Stand Up</t>
  </si>
  <si>
    <t xml:space="preserve">VID0400</t>
  </si>
  <si>
    <t xml:space="preserve">Python Tutorial</t>
  </si>
  <si>
    <t xml:space="preserve">VID0401</t>
  </si>
  <si>
    <t xml:space="preserve">Future of Fitness</t>
  </si>
  <si>
    <t xml:space="preserve">VID0402</t>
  </si>
  <si>
    <t xml:space="preserve">Top 10 Minecraft Tips</t>
  </si>
  <si>
    <t xml:space="preserve">VID0403</t>
  </si>
  <si>
    <t xml:space="preserve">VID0404</t>
  </si>
  <si>
    <t xml:space="preserve">VID0405</t>
  </si>
  <si>
    <t xml:space="preserve">Fortnite Funny Moments</t>
  </si>
  <si>
    <t xml:space="preserve">VID0406</t>
  </si>
  <si>
    <t xml:space="preserve">Fitness Life Update</t>
  </si>
  <si>
    <t xml:space="preserve">OfficialVlogHub</t>
  </si>
  <si>
    <t xml:space="preserve">VID0407</t>
  </si>
  <si>
    <t xml:space="preserve">AI Complete Guide</t>
  </si>
  <si>
    <t xml:space="preserve">OfficialMusicOfficial</t>
  </si>
  <si>
    <t xml:space="preserve">VID0408</t>
  </si>
  <si>
    <t xml:space="preserve">Rock Explained</t>
  </si>
  <si>
    <t xml:space="preserve">VID0409</t>
  </si>
  <si>
    <t xml:space="preserve">Top FIFA Gadgets</t>
  </si>
  <si>
    <t xml:space="preserve">VID0410</t>
  </si>
  <si>
    <t xml:space="preserve">DIY Basketball</t>
  </si>
  <si>
    <t xml:space="preserve">TechNewsZone</t>
  </si>
  <si>
    <t xml:space="preserve">VID0411</t>
  </si>
  <si>
    <t xml:space="preserve">Fortnite Masterclass</t>
  </si>
  <si>
    <t xml:space="preserve">SuperNewsChannel</t>
  </si>
  <si>
    <t xml:space="preserve">VID0412</t>
  </si>
  <si>
    <t xml:space="preserve">Rock Restoration</t>
  </si>
  <si>
    <t xml:space="preserve">VID0413</t>
  </si>
  <si>
    <t xml:space="preserve">Android Analysis</t>
  </si>
  <si>
    <t xml:space="preserve">VID0414</t>
  </si>
  <si>
    <t xml:space="preserve">iPhone Complete Guide</t>
  </si>
  <si>
    <t xml:space="preserve">VID0415</t>
  </si>
  <si>
    <t xml:space="preserve">Pro FIFA Tricks</t>
  </si>
  <si>
    <t xml:space="preserve">VID0416</t>
  </si>
  <si>
    <t xml:space="preserve">VID0417</t>
  </si>
  <si>
    <t xml:space="preserve">Minecraft Trailer</t>
  </si>
  <si>
    <t xml:space="preserve">VID0418</t>
  </si>
  <si>
    <t xml:space="preserve">Best Minecraft Songs 2026</t>
  </si>
  <si>
    <t xml:space="preserve">VID0419</t>
  </si>
  <si>
    <t xml:space="preserve">VID0420</t>
  </si>
  <si>
    <t xml:space="preserve">Best Basketball Moments</t>
  </si>
  <si>
    <t xml:space="preserve">UltimateMusicOfficial</t>
  </si>
  <si>
    <t xml:space="preserve">VID0421</t>
  </si>
  <si>
    <t xml:space="preserve">Fitness Roast</t>
  </si>
  <si>
    <t xml:space="preserve">VID0422</t>
  </si>
  <si>
    <t xml:space="preserve">Basketball Memes Compilation</t>
  </si>
  <si>
    <t xml:space="preserve">VID0423</t>
  </si>
  <si>
    <t xml:space="preserve">VID0424</t>
  </si>
  <si>
    <t xml:space="preserve">Python Concert</t>
  </si>
  <si>
    <t xml:space="preserve">VID0425</t>
  </si>
  <si>
    <t xml:space="preserve">Python Music Mix</t>
  </si>
  <si>
    <t xml:space="preserve">VID0426</t>
  </si>
  <si>
    <t xml:space="preserve">AI Music Mix</t>
  </si>
  <si>
    <t xml:space="preserve">VID0427</t>
  </si>
  <si>
    <t xml:space="preserve">Basketball Comparison</t>
  </si>
  <si>
    <t xml:space="preserve">VID0428</t>
  </si>
  <si>
    <t xml:space="preserve">VID0429</t>
  </si>
  <si>
    <t xml:space="preserve">VID0430</t>
  </si>
  <si>
    <t xml:space="preserve">Python Roast</t>
  </si>
  <si>
    <t xml:space="preserve">VID0431</t>
  </si>
  <si>
    <t xml:space="preserve">VID0432</t>
  </si>
  <si>
    <t xml:space="preserve">Travel Restoration</t>
  </si>
  <si>
    <t xml:space="preserve">VID0433</t>
  </si>
  <si>
    <t xml:space="preserve">iPhone Breaking News</t>
  </si>
  <si>
    <t xml:space="preserve">OfficialNewsProduction</t>
  </si>
  <si>
    <t xml:space="preserve">VID0434</t>
  </si>
  <si>
    <t xml:space="preserve">Basketball Daily Routine</t>
  </si>
  <si>
    <t xml:space="preserve">VID0435</t>
  </si>
  <si>
    <t xml:space="preserve">VID0436</t>
  </si>
  <si>
    <t xml:space="preserve">VID0437</t>
  </si>
  <si>
    <t xml:space="preserve">Fortnite Official Video</t>
  </si>
  <si>
    <t xml:space="preserve">VID0438</t>
  </si>
  <si>
    <t xml:space="preserve">Cooking Memes Compilation</t>
  </si>
  <si>
    <t xml:space="preserve">VID0439</t>
  </si>
  <si>
    <t xml:space="preserve">Cooking Restoration</t>
  </si>
  <si>
    <t xml:space="preserve">VID0440</t>
  </si>
  <si>
    <t xml:space="preserve">Python Restoration</t>
  </si>
  <si>
    <t xml:space="preserve">VID0441</t>
  </si>
  <si>
    <t xml:space="preserve">Pop Fashion Tips</t>
  </si>
  <si>
    <t xml:space="preserve">VID0442</t>
  </si>
  <si>
    <t xml:space="preserve">Travel Interview</t>
  </si>
  <si>
    <t xml:space="preserve">VID0443</t>
  </si>
  <si>
    <t xml:space="preserve">Android Latest Updates</t>
  </si>
  <si>
    <t xml:space="preserve">VID0444</t>
  </si>
  <si>
    <t xml:space="preserve">AI Restoration</t>
  </si>
  <si>
    <t xml:space="preserve">VID0445</t>
  </si>
  <si>
    <t xml:space="preserve">VID0446</t>
  </si>
  <si>
    <t xml:space="preserve">Pop Analysis</t>
  </si>
  <si>
    <t xml:space="preserve">VID0447</t>
  </si>
  <si>
    <t xml:space="preserve">VID0448</t>
  </si>
  <si>
    <t xml:space="preserve">VID0449</t>
  </si>
  <si>
    <t xml:space="preserve">VID0450</t>
  </si>
  <si>
    <t xml:space="preserve">VID0451</t>
  </si>
  <si>
    <t xml:space="preserve">Fortnite Test Drive</t>
  </si>
  <si>
    <t xml:space="preserve">VID0452</t>
  </si>
  <si>
    <t xml:space="preserve">VID0453</t>
  </si>
  <si>
    <t xml:space="preserve">Football Gameplay</t>
  </si>
  <si>
    <t xml:space="preserve">VID0454</t>
  </si>
  <si>
    <t xml:space="preserve">Rock Recipe</t>
  </si>
  <si>
    <t xml:space="preserve">VID0455</t>
  </si>
  <si>
    <t xml:space="preserve">DailyMusicTV</t>
  </si>
  <si>
    <t xml:space="preserve">VID0456</t>
  </si>
  <si>
    <t xml:space="preserve">Python Highlights</t>
  </si>
  <si>
    <t xml:space="preserve">VID0457</t>
  </si>
  <si>
    <t xml:space="preserve">Python Recipe</t>
  </si>
  <si>
    <t xml:space="preserve">VID0458</t>
  </si>
  <si>
    <t xml:space="preserve">VID0459</t>
  </si>
  <si>
    <t xml:space="preserve">Python Discussion</t>
  </si>
  <si>
    <t xml:space="preserve">VID0460</t>
  </si>
  <si>
    <t xml:space="preserve">Best Android Moments</t>
  </si>
  <si>
    <t xml:space="preserve">VID0461</t>
  </si>
  <si>
    <t xml:space="preserve">VID0462</t>
  </si>
  <si>
    <t xml:space="preserve">Travel Memes Compilation</t>
  </si>
  <si>
    <t xml:space="preserve">VID0463</t>
  </si>
  <si>
    <t xml:space="preserve">VID0464</t>
  </si>
  <si>
    <t xml:space="preserve">AI Test Drive</t>
  </si>
  <si>
    <t xml:space="preserve">OfficialGamingStudios</t>
  </si>
  <si>
    <t xml:space="preserve">VID0465</t>
  </si>
  <si>
    <t xml:space="preserve">Rock Test Drive</t>
  </si>
  <si>
    <t xml:space="preserve">VID0466</t>
  </si>
  <si>
    <t xml:space="preserve">VID0467</t>
  </si>
  <si>
    <t xml:space="preserve">VID0468</t>
  </si>
  <si>
    <t xml:space="preserve">VID0469</t>
  </si>
  <si>
    <t xml:space="preserve">Android Comparison</t>
  </si>
  <si>
    <t xml:space="preserve">ProVlogStudios</t>
  </si>
  <si>
    <t xml:space="preserve">VID0470</t>
  </si>
  <si>
    <t xml:space="preserve">VID0471</t>
  </si>
  <si>
    <t xml:space="preserve">VID0472</t>
  </si>
  <si>
    <t xml:space="preserve">FIFA Memes Compilation</t>
  </si>
  <si>
    <t xml:space="preserve">VID0473</t>
  </si>
  <si>
    <t xml:space="preserve">VID0474</t>
  </si>
  <si>
    <t xml:space="preserve">Android Discussion</t>
  </si>
  <si>
    <t xml:space="preserve">SuperTechWorld</t>
  </si>
  <si>
    <t xml:space="preserve">VID0475</t>
  </si>
  <si>
    <t xml:space="preserve">BestSportsNetwork</t>
  </si>
  <si>
    <t xml:space="preserve">VID0476</t>
  </si>
  <si>
    <t xml:space="preserve">Cooking Review</t>
  </si>
  <si>
    <t xml:space="preserve">VID0477</t>
  </si>
  <si>
    <t xml:space="preserve">AI Live Stream</t>
  </si>
  <si>
    <t xml:space="preserve">VID0478</t>
  </si>
  <si>
    <t xml:space="preserve">FIFA Trailer</t>
  </si>
  <si>
    <t xml:space="preserve">VID0479</t>
  </si>
  <si>
    <t xml:space="preserve">VID0480</t>
  </si>
  <si>
    <t xml:space="preserve">Best Fortnite Plays</t>
  </si>
  <si>
    <t xml:space="preserve">VID0481</t>
  </si>
  <si>
    <t xml:space="preserve">Best Cooking Songs 2026</t>
  </si>
  <si>
    <t xml:space="preserve">VID0482</t>
  </si>
  <si>
    <t xml:space="preserve">VID0483</t>
  </si>
  <si>
    <t xml:space="preserve">VID0484</t>
  </si>
  <si>
    <t xml:space="preserve">Minecraft Vlog</t>
  </si>
  <si>
    <t xml:space="preserve">VID0485</t>
  </si>
  <si>
    <t xml:space="preserve">VID0486</t>
  </si>
  <si>
    <t xml:space="preserve">VID0487</t>
  </si>
  <si>
    <t xml:space="preserve">Learn Cooking in 10 Minutes</t>
  </si>
  <si>
    <t xml:space="preserve">VID0488</t>
  </si>
  <si>
    <t xml:space="preserve">Learn FIFA in 10 Minutes</t>
  </si>
  <si>
    <t xml:space="preserve">VID0489</t>
  </si>
  <si>
    <t xml:space="preserve">VID0490</t>
  </si>
  <si>
    <t xml:space="preserve">Fitness Q&amp;A</t>
  </si>
  <si>
    <t xml:space="preserve">VID0491</t>
  </si>
  <si>
    <t xml:space="preserve">Makeup Live Stream</t>
  </si>
  <si>
    <t xml:space="preserve">VID0492</t>
  </si>
  <si>
    <t xml:space="preserve">VID0493</t>
  </si>
  <si>
    <t xml:space="preserve">Top Rock Cars 2026</t>
  </si>
  <si>
    <t xml:space="preserve">VID0494</t>
  </si>
  <si>
    <t xml:space="preserve">BestGamingTV</t>
  </si>
  <si>
    <t xml:space="preserve">VID0495</t>
  </si>
  <si>
    <t xml:space="preserve">VID0496</t>
  </si>
  <si>
    <t xml:space="preserve">Best iPhone Plays</t>
  </si>
  <si>
    <t xml:space="preserve">VID0497</t>
  </si>
  <si>
    <t xml:space="preserve">VID0498</t>
  </si>
  <si>
    <t xml:space="preserve">Travel Music Mix</t>
  </si>
  <si>
    <t xml:space="preserve">VID0499</t>
  </si>
  <si>
    <t xml:space="preserve">VID0500</t>
  </si>
  <si>
    <t xml:space="preserve">Best Android Ideas</t>
  </si>
  <si>
    <t xml:space="preserve">VID0501</t>
  </si>
  <si>
    <t xml:space="preserve">VID0502</t>
  </si>
  <si>
    <t xml:space="preserve">iPhone Life Update</t>
  </si>
  <si>
    <t xml:space="preserve">ProTechChannel</t>
  </si>
  <si>
    <t xml:space="preserve">VID0503</t>
  </si>
  <si>
    <t xml:space="preserve">Pop Memes Compilation</t>
  </si>
  <si>
    <t xml:space="preserve">VID0504</t>
  </si>
  <si>
    <t xml:space="preserve">VID0505</t>
  </si>
  <si>
    <t xml:space="preserve">VID0506</t>
  </si>
  <si>
    <t xml:space="preserve">Pop Stand Up</t>
  </si>
  <si>
    <t xml:space="preserve">VID0507</t>
  </si>
  <si>
    <t xml:space="preserve">Funny Python Skits</t>
  </si>
  <si>
    <t xml:space="preserve">VID0508</t>
  </si>
  <si>
    <t xml:space="preserve">Basketball Q&amp;A</t>
  </si>
  <si>
    <t xml:space="preserve">VID0509</t>
  </si>
  <si>
    <t xml:space="preserve">Minecraft Concert</t>
  </si>
  <si>
    <t xml:space="preserve">VID0510</t>
  </si>
  <si>
    <t xml:space="preserve">Rock Review</t>
  </si>
  <si>
    <t xml:space="preserve">VID0511</t>
  </si>
  <si>
    <t xml:space="preserve">VID0512</t>
  </si>
  <si>
    <t xml:space="preserve">VID0513</t>
  </si>
  <si>
    <t xml:space="preserve">VID0514</t>
  </si>
  <si>
    <t xml:space="preserve">iPhone Skills &amp; Goals</t>
  </si>
  <si>
    <t xml:space="preserve">VID0515</t>
  </si>
  <si>
    <t xml:space="preserve">Football Masterclass</t>
  </si>
  <si>
    <t xml:space="preserve">VID0516</t>
  </si>
  <si>
    <t xml:space="preserve">Basketball Concert</t>
  </si>
  <si>
    <t xml:space="preserve">VID0517</t>
  </si>
  <si>
    <t xml:space="preserve">VID0518</t>
  </si>
  <si>
    <t xml:space="preserve">Fortnite Behind the Scenes</t>
  </si>
  <si>
    <t xml:space="preserve">VID0519</t>
  </si>
  <si>
    <t xml:space="preserve">Best Makeup Compilation</t>
  </si>
  <si>
    <t xml:space="preserve">VID0520</t>
  </si>
  <si>
    <t xml:space="preserve">Basketball Makeup Tutorial</t>
  </si>
  <si>
    <t xml:space="preserve">VID0521</t>
  </si>
  <si>
    <t xml:space="preserve">VID0522</t>
  </si>
  <si>
    <t xml:space="preserve">VID0523</t>
  </si>
  <si>
    <t xml:space="preserve">Football Interview</t>
  </si>
  <si>
    <t xml:space="preserve">VID0524</t>
  </si>
  <si>
    <t xml:space="preserve">VID0525</t>
  </si>
  <si>
    <t xml:space="preserve">Fortnite Restoration</t>
  </si>
  <si>
    <t xml:space="preserve">VID0526</t>
  </si>
  <si>
    <t xml:space="preserve">TVReviewChannel</t>
  </si>
  <si>
    <t xml:space="preserve">VID0527</t>
  </si>
  <si>
    <t xml:space="preserve">Android Breaking News</t>
  </si>
  <si>
    <t xml:space="preserve">VID0528</t>
  </si>
  <si>
    <t xml:space="preserve">Pro Makeup Tricks</t>
  </si>
  <si>
    <t xml:space="preserve">VID0529</t>
  </si>
  <si>
    <t xml:space="preserve">Pop Explained</t>
  </si>
  <si>
    <t xml:space="preserve">VID0530</t>
  </si>
  <si>
    <t xml:space="preserve">VID0531</t>
  </si>
  <si>
    <t xml:space="preserve">Pop Daily Routine</t>
  </si>
  <si>
    <t xml:space="preserve">VID0532</t>
  </si>
  <si>
    <t xml:space="preserve">Python Behind the Scenes</t>
  </si>
  <si>
    <t xml:space="preserve">VID0533</t>
  </si>
  <si>
    <t xml:space="preserve">VID0534</t>
  </si>
  <si>
    <t xml:space="preserve">VID0535</t>
  </si>
  <si>
    <t xml:space="preserve">Fortnite Challenge</t>
  </si>
  <si>
    <t xml:space="preserve">VID0536</t>
  </si>
  <si>
    <t xml:space="preserve">Pro Rock Tricks</t>
  </si>
  <si>
    <t xml:space="preserve">VID0537</t>
  </si>
  <si>
    <t xml:space="preserve">My Python Story</t>
  </si>
  <si>
    <t xml:space="preserve">VID0538</t>
  </si>
  <si>
    <t xml:space="preserve">Python Makeup Tutorial</t>
  </si>
  <si>
    <t xml:space="preserve">VID0539</t>
  </si>
  <si>
    <t xml:space="preserve">Rock Prank</t>
  </si>
  <si>
    <t xml:space="preserve">VID0540</t>
  </si>
  <si>
    <t xml:space="preserve">FIFA Complete Guide</t>
  </si>
  <si>
    <t xml:space="preserve">VID0541</t>
  </si>
  <si>
    <t xml:space="preserve">Top AI Cars 2026</t>
  </si>
  <si>
    <t xml:space="preserve">VID0542</t>
  </si>
  <si>
    <t xml:space="preserve">AI Daily Routine</t>
  </si>
  <si>
    <t xml:space="preserve">VID0543</t>
  </si>
  <si>
    <t xml:space="preserve">Best Fortnite Songs 2026</t>
  </si>
  <si>
    <t xml:space="preserve">VID0544</t>
  </si>
  <si>
    <t xml:space="preserve">Minecraft Roast</t>
  </si>
  <si>
    <t xml:space="preserve">UltimateComedyMedia</t>
  </si>
  <si>
    <t xml:space="preserve">VID0545</t>
  </si>
  <si>
    <t xml:space="preserve">Pop Full Movie</t>
  </si>
  <si>
    <t xml:space="preserve">BestTechProduction</t>
  </si>
  <si>
    <t xml:space="preserve">VID0546</t>
  </si>
  <si>
    <t xml:space="preserve">Rock Masterclass</t>
  </si>
  <si>
    <t xml:space="preserve">VID0547</t>
  </si>
  <si>
    <t xml:space="preserve">Basketball Vlog</t>
  </si>
  <si>
    <t xml:space="preserve">VID0548</t>
  </si>
  <si>
    <t xml:space="preserve">Basketball Comedy Show</t>
  </si>
  <si>
    <t xml:space="preserve">VID0549</t>
  </si>
  <si>
    <t xml:space="preserve">VID0550</t>
  </si>
  <si>
    <t xml:space="preserve">VID0551</t>
  </si>
  <si>
    <t xml:space="preserve">VID0552</t>
  </si>
  <si>
    <t xml:space="preserve">iPhone Concert</t>
  </si>
  <si>
    <t xml:space="preserve">VID0553</t>
  </si>
  <si>
    <t xml:space="preserve">iPhone Tutorial</t>
  </si>
  <si>
    <t xml:space="preserve">VID0554</t>
  </si>
  <si>
    <t xml:space="preserve">Cooking Live Stream</t>
  </si>
  <si>
    <t xml:space="preserve">VID0555</t>
  </si>
  <si>
    <t xml:space="preserve">Minecraft Stand Up</t>
  </si>
  <si>
    <t xml:space="preserve">VID0556</t>
  </si>
  <si>
    <t xml:space="preserve">Makeup Discussion</t>
  </si>
  <si>
    <t xml:space="preserve">VID0557</t>
  </si>
  <si>
    <t xml:space="preserve">Fortnite Championship</t>
  </si>
  <si>
    <t xml:space="preserve">VID0558</t>
  </si>
  <si>
    <t xml:space="preserve">iPhone Review</t>
  </si>
  <si>
    <t xml:space="preserve">VID0559</t>
  </si>
  <si>
    <t xml:space="preserve">Makeup Test Drive</t>
  </si>
  <si>
    <t xml:space="preserve">VID0560</t>
  </si>
  <si>
    <t xml:space="preserve">AI Animated Short</t>
  </si>
  <si>
    <t xml:space="preserve">VID0561</t>
  </si>
  <si>
    <t xml:space="preserve">VID0562</t>
  </si>
  <si>
    <t xml:space="preserve">VID0563</t>
  </si>
  <si>
    <t xml:space="preserve">Fitness Recipe</t>
  </si>
  <si>
    <t xml:space="preserve">VID0564</t>
  </si>
  <si>
    <t xml:space="preserve">Fortnite Review</t>
  </si>
  <si>
    <t xml:space="preserve">VID0565</t>
  </si>
  <si>
    <t xml:space="preserve">VID0566</t>
  </si>
  <si>
    <t xml:space="preserve">VID0567</t>
  </si>
  <si>
    <t xml:space="preserve">VID0568</t>
  </si>
  <si>
    <t xml:space="preserve">Best Fitness Plays</t>
  </si>
  <si>
    <t xml:space="preserve">VID0569</t>
  </si>
  <si>
    <t xml:space="preserve">VID0570</t>
  </si>
  <si>
    <t xml:space="preserve">Travel Discussion</t>
  </si>
  <si>
    <t xml:space="preserve">VID0571</t>
  </si>
  <si>
    <t xml:space="preserve">VID0572</t>
  </si>
  <si>
    <t xml:space="preserve">VID0573</t>
  </si>
  <si>
    <t xml:space="preserve">Android Complete Guide</t>
  </si>
  <si>
    <t xml:space="preserve">VID0574</t>
  </si>
  <si>
    <t xml:space="preserve">VID0575</t>
  </si>
  <si>
    <t xml:space="preserve">VID0576</t>
  </si>
  <si>
    <t xml:space="preserve">VID0577</t>
  </si>
  <si>
    <t xml:space="preserve">Fitness Latest Updates</t>
  </si>
  <si>
    <t xml:space="preserve">VID0578</t>
  </si>
  <si>
    <t xml:space="preserve">Makeup Animated Short</t>
  </si>
  <si>
    <t xml:space="preserve">VID0579</t>
  </si>
  <si>
    <t xml:space="preserve">VID0580</t>
  </si>
  <si>
    <t xml:space="preserve">Travel Latest Updates</t>
  </si>
  <si>
    <t xml:space="preserve">VID0581</t>
  </si>
  <si>
    <t xml:space="preserve">Travel Prank</t>
  </si>
  <si>
    <t xml:space="preserve">VID0582</t>
  </si>
  <si>
    <t xml:space="preserve">Makeup Memes Compilation</t>
  </si>
  <si>
    <t xml:space="preserve">VID0583</t>
  </si>
  <si>
    <t xml:space="preserve">VID0584</t>
  </si>
  <si>
    <t xml:space="preserve">Future of AI</t>
  </si>
  <si>
    <t xml:space="preserve">VID0585</t>
  </si>
  <si>
    <t xml:space="preserve">Python Skills &amp; Goals</t>
  </si>
  <si>
    <t xml:space="preserve">VID0586</t>
  </si>
  <si>
    <t xml:space="preserve">VID0587</t>
  </si>
  <si>
    <t xml:space="preserve">VID0588</t>
  </si>
  <si>
    <t xml:space="preserve">Top Travel Gadgets</t>
  </si>
  <si>
    <t xml:space="preserve">VID0589</t>
  </si>
  <si>
    <t xml:space="preserve">VID0590</t>
  </si>
  <si>
    <t xml:space="preserve">VID0591</t>
  </si>
  <si>
    <t xml:space="preserve">VID0592</t>
  </si>
  <si>
    <t xml:space="preserve">Travel Analysis</t>
  </si>
  <si>
    <t xml:space="preserve">VID0593</t>
  </si>
  <si>
    <t xml:space="preserve">Travel Fashion Tips</t>
  </si>
  <si>
    <t xml:space="preserve">VID0594</t>
  </si>
  <si>
    <t xml:space="preserve">VID0595</t>
  </si>
  <si>
    <t xml:space="preserve">Learn Rock in 10 Minutes</t>
  </si>
  <si>
    <t xml:space="preserve">VID0596</t>
  </si>
  <si>
    <t xml:space="preserve">VID0597</t>
  </si>
  <si>
    <t xml:space="preserve">Cooking Championship</t>
  </si>
  <si>
    <t xml:space="preserve">VID0598</t>
  </si>
  <si>
    <t xml:space="preserve">VID0599</t>
  </si>
  <si>
    <t xml:space="preserve">VID0600</t>
  </si>
  <si>
    <t xml:space="preserve">Minecraft Fashion Tips</t>
  </si>
  <si>
    <t xml:space="preserve">VID0601</t>
  </si>
  <si>
    <t xml:space="preserve">iPhone Stand Up</t>
  </si>
  <si>
    <t xml:space="preserve">VID0602</t>
  </si>
  <si>
    <t xml:space="preserve">Best Cooking Moments</t>
  </si>
  <si>
    <t xml:space="preserve">VID0603</t>
  </si>
  <si>
    <t xml:space="preserve">Minecraft Funny Moments</t>
  </si>
  <si>
    <t xml:space="preserve">VID0604</t>
  </si>
  <si>
    <t xml:space="preserve">Pop Complete Guide</t>
  </si>
  <si>
    <t xml:space="preserve">VID0605</t>
  </si>
  <si>
    <t xml:space="preserve">VID0606</t>
  </si>
  <si>
    <t xml:space="preserve">VID0607</t>
  </si>
  <si>
    <t xml:space="preserve">VID0608</t>
  </si>
  <si>
    <t xml:space="preserve">VID0609</t>
  </si>
  <si>
    <t xml:space="preserve">VID0610</t>
  </si>
  <si>
    <t xml:space="preserve">VID0611</t>
  </si>
  <si>
    <t xml:space="preserve">VID0612</t>
  </si>
  <si>
    <t xml:space="preserve">AI Live Performance</t>
  </si>
  <si>
    <t xml:space="preserve">VID0613</t>
  </si>
  <si>
    <t xml:space="preserve">Fitness Tutorial</t>
  </si>
  <si>
    <t xml:space="preserve">VID0614</t>
  </si>
  <si>
    <t xml:space="preserve">VID0615</t>
  </si>
  <si>
    <t xml:space="preserve">iPhone Q&amp;A</t>
  </si>
  <si>
    <t xml:space="preserve">VID0616</t>
  </si>
  <si>
    <t xml:space="preserve">VID0617</t>
  </si>
  <si>
    <t xml:space="preserve">Makeup Comparison</t>
  </si>
  <si>
    <t xml:space="preserve">VID0618</t>
  </si>
  <si>
    <t xml:space="preserve">VID0619</t>
  </si>
  <si>
    <t xml:space="preserve">VID0620</t>
  </si>
  <si>
    <t xml:space="preserve">Android Vlog</t>
  </si>
  <si>
    <t xml:space="preserve">VID0621</t>
  </si>
  <si>
    <t xml:space="preserve">VID0622</t>
  </si>
  <si>
    <t xml:space="preserve">VID0623</t>
  </si>
  <si>
    <t xml:space="preserve">VID0624</t>
  </si>
  <si>
    <t xml:space="preserve">VID0625</t>
  </si>
  <si>
    <t xml:space="preserve">Travel Official Video</t>
  </si>
  <si>
    <t xml:space="preserve">VID0626</t>
  </si>
  <si>
    <t xml:space="preserve">Minecraft Restoration</t>
  </si>
  <si>
    <t xml:space="preserve">VID0627</t>
  </si>
  <si>
    <t xml:space="preserve">Makeup Masterclass</t>
  </si>
  <si>
    <t xml:space="preserve">VID0628</t>
  </si>
  <si>
    <t xml:space="preserve">Makeup Reaction Video</t>
  </si>
  <si>
    <t xml:space="preserve">VID0629</t>
  </si>
  <si>
    <t xml:space="preserve">FIFA Discussion</t>
  </si>
  <si>
    <t xml:space="preserve">VID0630</t>
  </si>
  <si>
    <t xml:space="preserve">AI Discussion</t>
  </si>
  <si>
    <t xml:space="preserve">VID0631</t>
  </si>
  <si>
    <t xml:space="preserve">Makeup Behind the Scenes</t>
  </si>
  <si>
    <t xml:space="preserve">VID0632</t>
  </si>
  <si>
    <t xml:space="preserve">Fitness Daily Routine</t>
  </si>
  <si>
    <t xml:space="preserve">VID0633</t>
  </si>
  <si>
    <t xml:space="preserve">Basketball Live Performance</t>
  </si>
  <si>
    <t xml:space="preserve">VID0634</t>
  </si>
  <si>
    <t xml:space="preserve">Football Latest Updates</t>
  </si>
  <si>
    <t xml:space="preserve">VID0635</t>
  </si>
  <si>
    <t xml:space="preserve">VID0636</t>
  </si>
  <si>
    <t xml:space="preserve">VID0637</t>
  </si>
  <si>
    <t xml:space="preserve">Football Funny Moments</t>
  </si>
  <si>
    <t xml:space="preserve">VID0638</t>
  </si>
  <si>
    <t xml:space="preserve">VID0639</t>
  </si>
  <si>
    <t xml:space="preserve">VID0640</t>
  </si>
  <si>
    <t xml:space="preserve">VID0641</t>
  </si>
  <si>
    <t xml:space="preserve">Fortnite Roast</t>
  </si>
  <si>
    <t xml:space="preserve">VID0642</t>
  </si>
  <si>
    <t xml:space="preserve">Cooking Funny Moments</t>
  </si>
  <si>
    <t xml:space="preserve">VID0643</t>
  </si>
  <si>
    <t xml:space="preserve">Best FIFA Songs 2026</t>
  </si>
  <si>
    <t xml:space="preserve">VID0644</t>
  </si>
  <si>
    <t xml:space="preserve">How to Travel</t>
  </si>
  <si>
    <t xml:space="preserve">VID0645</t>
  </si>
  <si>
    <t xml:space="preserve">VID0646</t>
  </si>
  <si>
    <t xml:space="preserve">VID0647</t>
  </si>
  <si>
    <t xml:space="preserve">Future of Android</t>
  </si>
  <si>
    <t xml:space="preserve">VID0648</t>
  </si>
  <si>
    <t xml:space="preserve">Basketball Prank</t>
  </si>
  <si>
    <t xml:space="preserve">VID0649</t>
  </si>
  <si>
    <t xml:space="preserve">VID0650</t>
  </si>
  <si>
    <t xml:space="preserve">VID0651</t>
  </si>
  <si>
    <t xml:space="preserve">VID0652</t>
  </si>
  <si>
    <t xml:space="preserve">Future of FIFA</t>
  </si>
  <si>
    <t xml:space="preserve">VID0653</t>
  </si>
  <si>
    <t xml:space="preserve">VID0654</t>
  </si>
  <si>
    <t xml:space="preserve">Funny AI Skits</t>
  </si>
  <si>
    <t xml:space="preserve">VID0655</t>
  </si>
  <si>
    <t xml:space="preserve">VID0656</t>
  </si>
  <si>
    <t xml:space="preserve">Top 10 FIFA Tips</t>
  </si>
  <si>
    <t xml:space="preserve">VID0657</t>
  </si>
  <si>
    <t xml:space="preserve">VID0658</t>
  </si>
  <si>
    <t xml:space="preserve">VID0659</t>
  </si>
  <si>
    <t xml:space="preserve">AI Interview</t>
  </si>
  <si>
    <t xml:space="preserve">VID0660</t>
  </si>
  <si>
    <t xml:space="preserve">Cooking Prank</t>
  </si>
  <si>
    <t xml:space="preserve">VID0661</t>
  </si>
  <si>
    <t xml:space="preserve">Makeup Review</t>
  </si>
  <si>
    <t xml:space="preserve">VID0662</t>
  </si>
  <si>
    <t xml:space="preserve">Basketball Funny Moments</t>
  </si>
  <si>
    <t xml:space="preserve">VID0663</t>
  </si>
  <si>
    <t xml:space="preserve">VID0664</t>
  </si>
  <si>
    <t xml:space="preserve">VID0665</t>
  </si>
  <si>
    <t xml:space="preserve">VID0666</t>
  </si>
  <si>
    <t xml:space="preserve">Fitness Championship</t>
  </si>
  <si>
    <t xml:space="preserve">VID0667</t>
  </si>
  <si>
    <t xml:space="preserve">VID0668</t>
  </si>
  <si>
    <t xml:space="preserve">VID0669</t>
  </si>
  <si>
    <t xml:space="preserve">VID0670</t>
  </si>
  <si>
    <t xml:space="preserve">How to Basketball</t>
  </si>
  <si>
    <t xml:space="preserve">VID0671</t>
  </si>
  <si>
    <t xml:space="preserve">VID0672</t>
  </si>
  <si>
    <t xml:space="preserve">AI Concert</t>
  </si>
  <si>
    <t xml:space="preserve">VID0673</t>
  </si>
  <si>
    <t xml:space="preserve">VID0674</t>
  </si>
  <si>
    <t xml:space="preserve">Fitness Highlights</t>
  </si>
  <si>
    <t xml:space="preserve">VID0675</t>
  </si>
  <si>
    <t xml:space="preserve">Best Python Plays</t>
  </si>
  <si>
    <t xml:space="preserve">VID0676</t>
  </si>
  <si>
    <t xml:space="preserve">Future of Makeup</t>
  </si>
  <si>
    <t xml:space="preserve">VID0677</t>
  </si>
  <si>
    <t xml:space="preserve">VID0678</t>
  </si>
  <si>
    <t xml:space="preserve">VID0679</t>
  </si>
  <si>
    <t xml:space="preserve">VID0680</t>
  </si>
  <si>
    <t xml:space="preserve">VID0681</t>
  </si>
  <si>
    <t xml:space="preserve">Fortnite Memes Compilation</t>
  </si>
  <si>
    <t xml:space="preserve">VID0682</t>
  </si>
  <si>
    <t xml:space="preserve">VID0683</t>
  </si>
  <si>
    <t xml:space="preserve">VID0684</t>
  </si>
  <si>
    <t xml:space="preserve">VID0685</t>
  </si>
  <si>
    <t xml:space="preserve">VID0686</t>
  </si>
  <si>
    <t xml:space="preserve">Future of Python</t>
  </si>
  <si>
    <t xml:space="preserve">VID0687</t>
  </si>
  <si>
    <t xml:space="preserve">VID0688</t>
  </si>
  <si>
    <t xml:space="preserve">WorldReviewTV</t>
  </si>
  <si>
    <t xml:space="preserve">VID0689</t>
  </si>
  <si>
    <t xml:space="preserve">Top Makeup Cars 2026</t>
  </si>
  <si>
    <t xml:space="preserve">VID0690</t>
  </si>
  <si>
    <t xml:space="preserve">Minecraft Full Movie</t>
  </si>
  <si>
    <t xml:space="preserve">VID0691</t>
  </si>
  <si>
    <t xml:space="preserve">VID0692</t>
  </si>
  <si>
    <t xml:space="preserve">Football Test Drive</t>
  </si>
  <si>
    <t xml:space="preserve">VID0693</t>
  </si>
  <si>
    <t xml:space="preserve">VID0694</t>
  </si>
  <si>
    <t xml:space="preserve">VID0695</t>
  </si>
  <si>
    <t xml:space="preserve">VID0696</t>
  </si>
  <si>
    <t xml:space="preserve">VID0697</t>
  </si>
  <si>
    <t xml:space="preserve">VID0698</t>
  </si>
  <si>
    <t xml:space="preserve">VID0699</t>
  </si>
  <si>
    <t xml:space="preserve">Basketball Challenge</t>
  </si>
  <si>
    <t xml:space="preserve">VID0700</t>
  </si>
  <si>
    <t xml:space="preserve">VID0701</t>
  </si>
  <si>
    <t xml:space="preserve">VID0702</t>
  </si>
  <si>
    <t xml:space="preserve">Best Rock Moments</t>
  </si>
  <si>
    <t xml:space="preserve">VID0703</t>
  </si>
  <si>
    <t xml:space="preserve">VID0704</t>
  </si>
  <si>
    <t xml:space="preserve">VID0705</t>
  </si>
  <si>
    <t xml:space="preserve">Best Fitness Moments</t>
  </si>
  <si>
    <t xml:space="preserve">VID0706</t>
  </si>
  <si>
    <t xml:space="preserve">VID0707</t>
  </si>
  <si>
    <t xml:space="preserve">Pop Live Stream</t>
  </si>
  <si>
    <t xml:space="preserve">VID0708</t>
  </si>
  <si>
    <t xml:space="preserve">WorldEntertainmentStudios</t>
  </si>
  <si>
    <t xml:space="preserve">VID0709</t>
  </si>
  <si>
    <t xml:space="preserve">VID0710</t>
  </si>
  <si>
    <t xml:space="preserve">DIY Python</t>
  </si>
  <si>
    <t xml:space="preserve">VID0711</t>
  </si>
  <si>
    <t xml:space="preserve">VID0712</t>
  </si>
  <si>
    <t xml:space="preserve">VID0713</t>
  </si>
  <si>
    <t xml:space="preserve">VID0714</t>
  </si>
  <si>
    <t xml:space="preserve">VID0715</t>
  </si>
  <si>
    <t xml:space="preserve">Fortnite Trailer</t>
  </si>
  <si>
    <t xml:space="preserve">VID0716</t>
  </si>
  <si>
    <t xml:space="preserve">VID0717</t>
  </si>
  <si>
    <t xml:space="preserve">VID0718</t>
  </si>
  <si>
    <t xml:space="preserve">VID0719</t>
  </si>
  <si>
    <t xml:space="preserve">VID0720</t>
  </si>
  <si>
    <t xml:space="preserve">VID0721</t>
  </si>
  <si>
    <t xml:space="preserve">VID0722</t>
  </si>
  <si>
    <t xml:space="preserve">VID0723</t>
  </si>
  <si>
    <t xml:space="preserve">VID0724</t>
  </si>
  <si>
    <t xml:space="preserve">Pop Makeup Tutorial</t>
  </si>
  <si>
    <t xml:space="preserve">VID0725</t>
  </si>
  <si>
    <t xml:space="preserve">VID0726</t>
  </si>
  <si>
    <t xml:space="preserve">My Makeup Story</t>
  </si>
  <si>
    <t xml:space="preserve">VID0727</t>
  </si>
  <si>
    <t xml:space="preserve">VID0728</t>
  </si>
  <si>
    <t xml:space="preserve">VID0729</t>
  </si>
  <si>
    <t xml:space="preserve">VID0730</t>
  </si>
  <si>
    <t xml:space="preserve">VID0731</t>
  </si>
  <si>
    <t xml:space="preserve">VID0732</t>
  </si>
  <si>
    <t xml:space="preserve">iPhone Challenge</t>
  </si>
  <si>
    <t xml:space="preserve">VID0733</t>
  </si>
  <si>
    <t xml:space="preserve">iPhone Makeup Tutorial</t>
  </si>
  <si>
    <t xml:space="preserve">VID0734</t>
  </si>
  <si>
    <t xml:space="preserve">VID0735</t>
  </si>
  <si>
    <t xml:space="preserve">VID0736</t>
  </si>
  <si>
    <t xml:space="preserve">AI Masterclass</t>
  </si>
  <si>
    <t xml:space="preserve">VID0737</t>
  </si>
  <si>
    <t xml:space="preserve">Minecraft Tutorial</t>
  </si>
  <si>
    <t xml:space="preserve">VID0738</t>
  </si>
  <si>
    <t xml:space="preserve">VID0739</t>
  </si>
  <si>
    <t xml:space="preserve">WorldSportsNetwork</t>
  </si>
  <si>
    <t xml:space="preserve">VID0740</t>
  </si>
  <si>
    <t xml:space="preserve">VID0741</t>
  </si>
  <si>
    <t xml:space="preserve">VID0742</t>
  </si>
  <si>
    <t xml:space="preserve">VID0743</t>
  </si>
  <si>
    <t xml:space="preserve">VID0744</t>
  </si>
  <si>
    <t xml:space="preserve">VID0745</t>
  </si>
  <si>
    <t xml:space="preserve">VID0746</t>
  </si>
  <si>
    <t xml:space="preserve">Best FIFA Compilation</t>
  </si>
  <si>
    <t xml:space="preserve">VID0747</t>
  </si>
  <si>
    <t xml:space="preserve">Makeup Explained</t>
  </si>
  <si>
    <t xml:space="preserve">VID0748</t>
  </si>
  <si>
    <t xml:space="preserve">VID0749</t>
  </si>
  <si>
    <t xml:space="preserve">Android Funny Moments</t>
  </si>
  <si>
    <t xml:space="preserve">VID0750</t>
  </si>
  <si>
    <t xml:space="preserve">Minecraft Recipe</t>
  </si>
  <si>
    <t xml:space="preserve">VID0751</t>
  </si>
  <si>
    <t xml:space="preserve">How to Fitness</t>
  </si>
  <si>
    <t xml:space="preserve">MasterEntertainmentTV</t>
  </si>
  <si>
    <t xml:space="preserve">VID0752</t>
  </si>
  <si>
    <t xml:space="preserve">DIY Football</t>
  </si>
  <si>
    <t xml:space="preserve">VID0753</t>
  </si>
  <si>
    <t xml:space="preserve">VID0754</t>
  </si>
  <si>
    <t xml:space="preserve">VID0755</t>
  </si>
  <si>
    <t xml:space="preserve">VID0756</t>
  </si>
  <si>
    <t xml:space="preserve">Makeup Recipe</t>
  </si>
  <si>
    <t xml:space="preserve">VID0757</t>
  </si>
  <si>
    <t xml:space="preserve">VID0758</t>
  </si>
  <si>
    <t xml:space="preserve">VID0759</t>
  </si>
  <si>
    <t xml:space="preserve">Pop Vlog</t>
  </si>
  <si>
    <t xml:space="preserve">VID0760</t>
  </si>
  <si>
    <t xml:space="preserve">VID0761</t>
  </si>
  <si>
    <t xml:space="preserve">VID0762</t>
  </si>
  <si>
    <t xml:space="preserve">VID0763</t>
  </si>
  <si>
    <t xml:space="preserve">VID0764</t>
  </si>
  <si>
    <t xml:space="preserve">Pop Trailer</t>
  </si>
  <si>
    <t xml:space="preserve">VID0765</t>
  </si>
  <si>
    <t xml:space="preserve">VID0766</t>
  </si>
  <si>
    <t xml:space="preserve">Cooking Discussion</t>
  </si>
  <si>
    <t xml:space="preserve">VID0767</t>
  </si>
  <si>
    <t xml:space="preserve">VID0768</t>
  </si>
  <si>
    <t xml:space="preserve">VID0769</t>
  </si>
  <si>
    <t xml:space="preserve">Cooking Test Drive</t>
  </si>
  <si>
    <t xml:space="preserve">VID0770</t>
  </si>
  <si>
    <t xml:space="preserve">VID0771</t>
  </si>
  <si>
    <t xml:space="preserve">VID0772</t>
  </si>
  <si>
    <t xml:space="preserve">VID0773</t>
  </si>
  <si>
    <t xml:space="preserve">VID0774</t>
  </si>
  <si>
    <t xml:space="preserve">VID0775</t>
  </si>
  <si>
    <t xml:space="preserve">Travel Animated Short</t>
  </si>
  <si>
    <t xml:space="preserve">VID0776</t>
  </si>
  <si>
    <t xml:space="preserve">VID0777</t>
  </si>
  <si>
    <t xml:space="preserve">Android Comedy Show</t>
  </si>
  <si>
    <t xml:space="preserve">VID0778</t>
  </si>
  <si>
    <t xml:space="preserve">iPhone Official Video</t>
  </si>
  <si>
    <t xml:space="preserve">VID0779</t>
  </si>
  <si>
    <t xml:space="preserve">VID0780</t>
  </si>
  <si>
    <t xml:space="preserve">VID0781</t>
  </si>
  <si>
    <t xml:space="preserve">VID0782</t>
  </si>
  <si>
    <t xml:space="preserve">Pro iPhone Tricks</t>
  </si>
  <si>
    <t xml:space="preserve">VID0783</t>
  </si>
  <si>
    <t xml:space="preserve">VID0784</t>
  </si>
  <si>
    <t xml:space="preserve">VID0785</t>
  </si>
  <si>
    <t xml:space="preserve">Rock Latest Updates</t>
  </si>
  <si>
    <t xml:space="preserve">VID0786</t>
  </si>
  <si>
    <t xml:space="preserve">VID0787</t>
  </si>
  <si>
    <t xml:space="preserve">Rock Gameplay</t>
  </si>
  <si>
    <t xml:space="preserve">VID0788</t>
  </si>
  <si>
    <t xml:space="preserve">VID0789</t>
  </si>
  <si>
    <t xml:space="preserve">My iPhone Story</t>
  </si>
  <si>
    <t xml:space="preserve">VID0790</t>
  </si>
  <si>
    <t xml:space="preserve">Pop Recipe</t>
  </si>
  <si>
    <t xml:space="preserve">VID0791</t>
  </si>
  <si>
    <t xml:space="preserve">VID0792</t>
  </si>
  <si>
    <t xml:space="preserve">VID0793</t>
  </si>
  <si>
    <t xml:space="preserve">VID0794</t>
  </si>
  <si>
    <t xml:space="preserve">FIFA Masterclass</t>
  </si>
  <si>
    <t xml:space="preserve">VID0795</t>
  </si>
  <si>
    <t xml:space="preserve">VID0796</t>
  </si>
  <si>
    <t xml:space="preserve">2026-05-16</t>
  </si>
  <si>
    <t xml:space="preserve">VID0797</t>
  </si>
  <si>
    <t xml:space="preserve">VID0798</t>
  </si>
  <si>
    <t xml:space="preserve">VID0799</t>
  </si>
  <si>
    <t xml:space="preserve">Cooking Daily Routine</t>
  </si>
  <si>
    <t xml:space="preserve">VID0800</t>
  </si>
  <si>
    <t xml:space="preserve">VID0801</t>
  </si>
  <si>
    <t xml:space="preserve">VID0802</t>
  </si>
  <si>
    <t xml:space="preserve">VID0803</t>
  </si>
  <si>
    <t xml:space="preserve">VID0804</t>
  </si>
  <si>
    <t xml:space="preserve">Android Prank</t>
  </si>
  <si>
    <t xml:space="preserve">VID0805</t>
  </si>
  <si>
    <t xml:space="preserve">VID0806</t>
  </si>
  <si>
    <t xml:space="preserve">VID0807</t>
  </si>
  <si>
    <t xml:space="preserve">Cooking Comparison</t>
  </si>
  <si>
    <t xml:space="preserve">VID0808</t>
  </si>
  <si>
    <t xml:space="preserve">VID0809</t>
  </si>
  <si>
    <t xml:space="preserve">Fortnite Live Performance</t>
  </si>
  <si>
    <t xml:space="preserve">VID0810</t>
  </si>
  <si>
    <t xml:space="preserve">VID0811</t>
  </si>
  <si>
    <t xml:space="preserve">VID0812</t>
  </si>
  <si>
    <t xml:space="preserve">AI Life Update</t>
  </si>
  <si>
    <t xml:space="preserve">VID0813</t>
  </si>
  <si>
    <t xml:space="preserve">TopMusicHub</t>
  </si>
  <si>
    <t xml:space="preserve">VID0814</t>
  </si>
  <si>
    <t xml:space="preserve">VID0815</t>
  </si>
  <si>
    <t xml:space="preserve">Funny iPhone Skits</t>
  </si>
  <si>
    <t xml:space="preserve">VID0816</t>
  </si>
  <si>
    <t xml:space="preserve">VID0817</t>
  </si>
  <si>
    <t xml:space="preserve">Android Championship</t>
  </si>
  <si>
    <t xml:space="preserve">VID0818</t>
  </si>
  <si>
    <t xml:space="preserve">Minecraft Behind the Scenes</t>
  </si>
  <si>
    <t xml:space="preserve">VID0819</t>
  </si>
  <si>
    <t xml:space="preserve">VID0820</t>
  </si>
  <si>
    <t xml:space="preserve">Fortnite Comparison</t>
  </si>
  <si>
    <t xml:space="preserve">VID0821</t>
  </si>
  <si>
    <t xml:space="preserve">VID0822</t>
  </si>
  <si>
    <t xml:space="preserve">VID0823</t>
  </si>
  <si>
    <t xml:space="preserve">VID0824</t>
  </si>
  <si>
    <t xml:space="preserve">VID0825</t>
  </si>
  <si>
    <t xml:space="preserve">VID0826</t>
  </si>
  <si>
    <t xml:space="preserve">VID0827</t>
  </si>
  <si>
    <t xml:space="preserve">VID0828</t>
  </si>
  <si>
    <t xml:space="preserve">VID0829</t>
  </si>
  <si>
    <t xml:space="preserve">Rock Concert</t>
  </si>
  <si>
    <t xml:space="preserve">VID0830</t>
  </si>
  <si>
    <t xml:space="preserve">VID0831</t>
  </si>
  <si>
    <t xml:space="preserve">Pro Cooking Tricks</t>
  </si>
  <si>
    <t xml:space="preserve">VID0832</t>
  </si>
  <si>
    <t xml:space="preserve">VID0833</t>
  </si>
  <si>
    <t xml:space="preserve">VID0834</t>
  </si>
  <si>
    <t xml:space="preserve">VID0835</t>
  </si>
  <si>
    <t xml:space="preserve">VID0836</t>
  </si>
  <si>
    <t xml:space="preserve">VID0837</t>
  </si>
  <si>
    <t xml:space="preserve">VID0838</t>
  </si>
  <si>
    <t xml:space="preserve">VID0839</t>
  </si>
  <si>
    <t xml:space="preserve">VID0840</t>
  </si>
  <si>
    <t xml:space="preserve">VID0841</t>
  </si>
  <si>
    <t xml:space="preserve">VID0842</t>
  </si>
  <si>
    <t xml:space="preserve">Basketball Masterclass</t>
  </si>
  <si>
    <t xml:space="preserve">VID0843</t>
  </si>
  <si>
    <t xml:space="preserve">Pro Travel Tricks</t>
  </si>
  <si>
    <t xml:space="preserve">VID0844</t>
  </si>
  <si>
    <t xml:space="preserve">VID0845</t>
  </si>
  <si>
    <t xml:space="preserve">VID0846</t>
  </si>
  <si>
    <t xml:space="preserve">VID0847</t>
  </si>
  <si>
    <t xml:space="preserve">VID0848</t>
  </si>
  <si>
    <t xml:space="preserve">Android Gameplay</t>
  </si>
  <si>
    <t xml:space="preserve">VID0849</t>
  </si>
  <si>
    <t xml:space="preserve">Minecraft Discussion</t>
  </si>
  <si>
    <t xml:space="preserve">VID0850</t>
  </si>
  <si>
    <t xml:space="preserve">Fortnite Prank</t>
  </si>
  <si>
    <t xml:space="preserve">VID0851</t>
  </si>
  <si>
    <t xml:space="preserve">Pop Roast</t>
  </si>
  <si>
    <t xml:space="preserve">VID0852</t>
  </si>
  <si>
    <t xml:space="preserve">Best Makeup Ideas</t>
  </si>
  <si>
    <t xml:space="preserve">VID0853</t>
  </si>
  <si>
    <t xml:space="preserve">VID0854</t>
  </si>
  <si>
    <t xml:space="preserve">Best Android Compilation</t>
  </si>
  <si>
    <t xml:space="preserve">VID0855</t>
  </si>
  <si>
    <t xml:space="preserve">VID0856</t>
  </si>
  <si>
    <t xml:space="preserve">WorldNewsStudios</t>
  </si>
  <si>
    <t xml:space="preserve">VID0857</t>
  </si>
  <si>
    <t xml:space="preserve">VID0858</t>
  </si>
  <si>
    <t xml:space="preserve">VID0859</t>
  </si>
  <si>
    <t xml:space="preserve">VID0860</t>
  </si>
  <si>
    <t xml:space="preserve">VID0861</t>
  </si>
  <si>
    <t xml:space="preserve">VID0862</t>
  </si>
  <si>
    <t xml:space="preserve">Rock Complete Guide</t>
  </si>
  <si>
    <t xml:space="preserve">VID0863</t>
  </si>
  <si>
    <t xml:space="preserve">VID0864</t>
  </si>
  <si>
    <t xml:space="preserve">VID0865</t>
  </si>
  <si>
    <t xml:space="preserve">VID0866</t>
  </si>
  <si>
    <t xml:space="preserve">VID0867</t>
  </si>
  <si>
    <t xml:space="preserve">VID0868</t>
  </si>
  <si>
    <t xml:space="preserve">VID0869</t>
  </si>
  <si>
    <t xml:space="preserve">VID0870</t>
  </si>
  <si>
    <t xml:space="preserve">VID0871</t>
  </si>
  <si>
    <t xml:space="preserve">VID0872</t>
  </si>
  <si>
    <t xml:space="preserve">Top Pop Gadgets</t>
  </si>
  <si>
    <t xml:space="preserve">VID0873</t>
  </si>
  <si>
    <t xml:space="preserve">VID0874</t>
  </si>
  <si>
    <t xml:space="preserve">VID0875</t>
  </si>
  <si>
    <t xml:space="preserve">Minecraft Latest Updates</t>
  </si>
  <si>
    <t xml:space="preserve">VID0876</t>
  </si>
  <si>
    <t xml:space="preserve">VID0877</t>
  </si>
  <si>
    <t xml:space="preserve">VID0878</t>
  </si>
  <si>
    <t xml:space="preserve">Pro Android Tricks</t>
  </si>
  <si>
    <t xml:space="preserve">VID0879</t>
  </si>
  <si>
    <t xml:space="preserve">FIFA Analysis</t>
  </si>
  <si>
    <t xml:space="preserve">VID0880</t>
  </si>
  <si>
    <t xml:space="preserve">VID0881</t>
  </si>
  <si>
    <t xml:space="preserve">VID0882</t>
  </si>
  <si>
    <t xml:space="preserve">Pop Breaking News</t>
  </si>
  <si>
    <t xml:space="preserve">VID0883</t>
  </si>
  <si>
    <t xml:space="preserve">Rock Skills &amp; Goals</t>
  </si>
  <si>
    <t xml:space="preserve">VID0884</t>
  </si>
  <si>
    <t xml:space="preserve">AI Championship</t>
  </si>
  <si>
    <t xml:space="preserve">VID0885</t>
  </si>
  <si>
    <t xml:space="preserve">Top Minecraft Cars 2026</t>
  </si>
  <si>
    <t xml:space="preserve">VID0886</t>
  </si>
  <si>
    <t xml:space="preserve">Makeup Skills &amp; Goals</t>
  </si>
  <si>
    <t xml:space="preserve">VID0887</t>
  </si>
  <si>
    <t xml:space="preserve">VID0888</t>
  </si>
  <si>
    <t xml:space="preserve">VID0889</t>
  </si>
  <si>
    <t xml:space="preserve">Python Breaking News</t>
  </si>
  <si>
    <t xml:space="preserve">VID0890</t>
  </si>
  <si>
    <t xml:space="preserve">Minecraft Live Performance</t>
  </si>
  <si>
    <t xml:space="preserve">2026-05-17</t>
  </si>
  <si>
    <t xml:space="preserve">VID0891</t>
  </si>
  <si>
    <t xml:space="preserve">Best Python Songs 2026</t>
  </si>
  <si>
    <t xml:space="preserve">VID0892</t>
  </si>
  <si>
    <t xml:space="preserve">VID0893</t>
  </si>
  <si>
    <t xml:space="preserve">VID0894</t>
  </si>
  <si>
    <t xml:space="preserve">VID0895</t>
  </si>
  <si>
    <t xml:space="preserve">VID0896</t>
  </si>
  <si>
    <t xml:space="preserve">Rock Analysis</t>
  </si>
  <si>
    <t xml:space="preserve">VID0897</t>
  </si>
  <si>
    <t xml:space="preserve">VID0898</t>
  </si>
  <si>
    <t xml:space="preserve">VID0899</t>
  </si>
  <si>
    <t xml:space="preserve">Football Stand Up</t>
  </si>
  <si>
    <t xml:space="preserve">VID0900</t>
  </si>
  <si>
    <t xml:space="preserve">VID0901</t>
  </si>
  <si>
    <t xml:space="preserve">VID0902</t>
  </si>
  <si>
    <t xml:space="preserve">VID0903</t>
  </si>
  <si>
    <t xml:space="preserve">DIY Travel</t>
  </si>
  <si>
    <t xml:space="preserve">VID0904</t>
  </si>
  <si>
    <t xml:space="preserve">VID0905</t>
  </si>
  <si>
    <t xml:space="preserve">VID0906</t>
  </si>
  <si>
    <t xml:space="preserve">VID0907</t>
  </si>
  <si>
    <t xml:space="preserve">VID0908</t>
  </si>
  <si>
    <t xml:space="preserve">Best Football Songs 2026</t>
  </si>
  <si>
    <t xml:space="preserve">VID0909</t>
  </si>
  <si>
    <t xml:space="preserve">Learn Android in 10 Minutes</t>
  </si>
  <si>
    <t xml:space="preserve">VID0910</t>
  </si>
  <si>
    <t xml:space="preserve">VID0911</t>
  </si>
  <si>
    <t xml:space="preserve">VID0912</t>
  </si>
  <si>
    <t xml:space="preserve">VID0913</t>
  </si>
  <si>
    <t xml:space="preserve">VID0914</t>
  </si>
  <si>
    <t xml:space="preserve">FIFA Latest Updates</t>
  </si>
  <si>
    <t xml:space="preserve">VID0915</t>
  </si>
  <si>
    <t xml:space="preserve">Funny FIFA Skits</t>
  </si>
  <si>
    <t xml:space="preserve">VID0916</t>
  </si>
  <si>
    <t xml:space="preserve">Pop Skills &amp; Goals</t>
  </si>
  <si>
    <t xml:space="preserve">VID0917</t>
  </si>
  <si>
    <t xml:space="preserve">Fitness Live Stream</t>
  </si>
  <si>
    <t xml:space="preserve">VID0918</t>
  </si>
  <si>
    <t xml:space="preserve">Fitness Challenge</t>
  </si>
  <si>
    <t xml:space="preserve">VID0919</t>
  </si>
  <si>
    <t xml:space="preserve">VID0920</t>
  </si>
  <si>
    <t xml:space="preserve">VID0921</t>
  </si>
  <si>
    <t xml:space="preserve">VID0922</t>
  </si>
  <si>
    <t xml:space="preserve">VID0923</t>
  </si>
  <si>
    <t xml:space="preserve">Funny Cooking Skits</t>
  </si>
  <si>
    <t xml:space="preserve">VID0924</t>
  </si>
  <si>
    <t xml:space="preserve">VID0925</t>
  </si>
  <si>
    <t xml:space="preserve">VID0926</t>
  </si>
  <si>
    <t xml:space="preserve">VID0927</t>
  </si>
  <si>
    <t xml:space="preserve">Best Minecraft Compilation</t>
  </si>
  <si>
    <t xml:space="preserve">VID0928</t>
  </si>
  <si>
    <t xml:space="preserve">VID0929</t>
  </si>
  <si>
    <t xml:space="preserve">VID0930</t>
  </si>
  <si>
    <t xml:space="preserve">VID0931</t>
  </si>
  <si>
    <t xml:space="preserve">Learn Football in 10 Minutes</t>
  </si>
  <si>
    <t xml:space="preserve">VID0932</t>
  </si>
  <si>
    <t xml:space="preserve">VID0933</t>
  </si>
  <si>
    <t xml:space="preserve">VID0934</t>
  </si>
  <si>
    <t xml:space="preserve">VID0935</t>
  </si>
  <si>
    <t xml:space="preserve">VID0936</t>
  </si>
  <si>
    <t xml:space="preserve">iPhone Behind the Scenes</t>
  </si>
  <si>
    <t xml:space="preserve">VID0937</t>
  </si>
  <si>
    <t xml:space="preserve">VID0938</t>
  </si>
  <si>
    <t xml:space="preserve">VID0939</t>
  </si>
  <si>
    <t xml:space="preserve">VID0940</t>
  </si>
  <si>
    <t xml:space="preserve">VID0941</t>
  </si>
  <si>
    <t xml:space="preserve">VID0942</t>
  </si>
  <si>
    <t xml:space="preserve">VID0943</t>
  </si>
  <si>
    <t xml:space="preserve">Pop Gameplay</t>
  </si>
  <si>
    <t xml:space="preserve">VID0944</t>
  </si>
  <si>
    <t xml:space="preserve">VID0945</t>
  </si>
  <si>
    <t xml:space="preserve">VID0946</t>
  </si>
  <si>
    <t xml:space="preserve">DIY Fitness</t>
  </si>
  <si>
    <t xml:space="preserve">VID0947</t>
  </si>
  <si>
    <t xml:space="preserve">Fortnite Analysis</t>
  </si>
  <si>
    <t xml:space="preserve">VID0948</t>
  </si>
  <si>
    <t xml:space="preserve">DIY Rock</t>
  </si>
  <si>
    <t xml:space="preserve">VID0949</t>
  </si>
  <si>
    <t xml:space="preserve">VID0950</t>
  </si>
  <si>
    <t xml:space="preserve">VID0951</t>
  </si>
  <si>
    <t xml:space="preserve">VID0952</t>
  </si>
  <si>
    <t xml:space="preserve">VID0953</t>
  </si>
  <si>
    <t xml:space="preserve">VID0954</t>
  </si>
  <si>
    <t xml:space="preserve">VID0955</t>
  </si>
  <si>
    <t xml:space="preserve">VID0956</t>
  </si>
  <si>
    <t xml:space="preserve">Fortnite Life Update</t>
  </si>
  <si>
    <t xml:space="preserve">VID0957</t>
  </si>
  <si>
    <t xml:space="preserve">VID0958</t>
  </si>
  <si>
    <t xml:space="preserve">VID0959</t>
  </si>
  <si>
    <t xml:space="preserve">VID0960</t>
  </si>
  <si>
    <t xml:space="preserve">VID0961</t>
  </si>
  <si>
    <t xml:space="preserve">VID0962</t>
  </si>
  <si>
    <t xml:space="preserve">VID0963</t>
  </si>
  <si>
    <t xml:space="preserve">VID0964</t>
  </si>
  <si>
    <t xml:space="preserve">VID0965</t>
  </si>
  <si>
    <t xml:space="preserve">VID0966</t>
  </si>
  <si>
    <t xml:space="preserve">VID0967</t>
  </si>
  <si>
    <t xml:space="preserve">VID0968</t>
  </si>
  <si>
    <t xml:space="preserve">VID0969</t>
  </si>
  <si>
    <t xml:space="preserve">Fortnite Recipe</t>
  </si>
  <si>
    <t xml:space="preserve">VID0970</t>
  </si>
  <si>
    <t xml:space="preserve">VID0971</t>
  </si>
  <si>
    <t xml:space="preserve">Android Reaction Video</t>
  </si>
  <si>
    <t xml:space="preserve">VID0972</t>
  </si>
  <si>
    <t xml:space="preserve">VID0973</t>
  </si>
  <si>
    <t xml:space="preserve">VID0974</t>
  </si>
  <si>
    <t xml:space="preserve">DIY Cooking</t>
  </si>
  <si>
    <t xml:space="preserve">VID0975</t>
  </si>
  <si>
    <t xml:space="preserve">VID0976</t>
  </si>
  <si>
    <t xml:space="preserve">Makeup Trailer</t>
  </si>
  <si>
    <t xml:space="preserve">VID0977</t>
  </si>
  <si>
    <t xml:space="preserve">VID0978</t>
  </si>
  <si>
    <t xml:space="preserve">VID0979</t>
  </si>
  <si>
    <t xml:space="preserve">VID0980</t>
  </si>
  <si>
    <t xml:space="preserve">VID0981</t>
  </si>
  <si>
    <t xml:space="preserve">My Travel Story</t>
  </si>
  <si>
    <t xml:space="preserve">VID0982</t>
  </si>
  <si>
    <t xml:space="preserve">Android Stand Up</t>
  </si>
  <si>
    <t xml:space="preserve">VID0983</t>
  </si>
  <si>
    <t xml:space="preserve">VID0984</t>
  </si>
  <si>
    <t xml:space="preserve">VID0985</t>
  </si>
  <si>
    <t xml:space="preserve">VID0986</t>
  </si>
  <si>
    <t xml:space="preserve">VID0987</t>
  </si>
  <si>
    <t xml:space="preserve">VID0988</t>
  </si>
  <si>
    <t xml:space="preserve">VID0989</t>
  </si>
  <si>
    <t xml:space="preserve">Best Football Moments</t>
  </si>
  <si>
    <t xml:space="preserve">VID0990</t>
  </si>
  <si>
    <t xml:space="preserve">VID0991</t>
  </si>
  <si>
    <t xml:space="preserve">VID0992</t>
  </si>
  <si>
    <t xml:space="preserve">Rock Daily Routine</t>
  </si>
  <si>
    <t xml:space="preserve">VID0993</t>
  </si>
  <si>
    <t xml:space="preserve">VID0994</t>
  </si>
  <si>
    <t xml:space="preserve">VID0995</t>
  </si>
  <si>
    <t xml:space="preserve">VID0996</t>
  </si>
  <si>
    <t xml:space="preserve">VID0997</t>
  </si>
  <si>
    <t xml:space="preserve">VID0998</t>
  </si>
  <si>
    <t xml:space="preserve">AI Stand Up</t>
  </si>
  <si>
    <t xml:space="preserve">VID0999</t>
  </si>
  <si>
    <t xml:space="preserve">Football Animated Short</t>
  </si>
  <si>
    <t xml:space="preserve">VID1000</t>
  </si>
  <si>
    <t xml:space="preserve">Total_Videos</t>
  </si>
  <si>
    <t xml:space="preserve">Total_Views</t>
  </si>
  <si>
    <t xml:space="preserve">Total_Likes</t>
  </si>
  <si>
    <t xml:space="preserve">Total_Comments</t>
  </si>
  <si>
    <t xml:space="preserve">Avg_Views_Per_Video</t>
  </si>
  <si>
    <t xml:space="preserve">Avg_Likes_Per_Video</t>
  </si>
  <si>
    <t xml:space="preserve">Engagement_Rate_%</t>
  </si>
  <si>
    <t xml:space="preserve">Primary_Category</t>
  </si>
  <si>
    <t xml:space="preserve">ProNewsStudios</t>
  </si>
  <si>
    <t xml:space="preserve">Video_Count</t>
  </si>
  <si>
    <t xml:space="preserve">Avg_Views</t>
  </si>
  <si>
    <t xml:space="preserve">Avg_Engagement_%</t>
  </si>
  <si>
    <t xml:space="preserve">Top_Country</t>
  </si>
  <si>
    <t xml:space="preserve">YOUTUBE TRENDING ANALYSIS DASHBOARD</t>
  </si>
  <si>
    <t xml:space="preserve">KEY METRICS</t>
  </si>
  <si>
    <t xml:space="preserve">Total Videos:</t>
  </si>
  <si>
    <t xml:space="preserve">Total Views:</t>
  </si>
  <si>
    <t xml:space="preserve">Total Likes:</t>
  </si>
  <si>
    <t xml:space="preserve">Total Comments:</t>
  </si>
  <si>
    <t xml:space="preserve">Average Views per Video:</t>
  </si>
  <si>
    <t xml:space="preserve">Average Likes per Video:</t>
  </si>
  <si>
    <t xml:space="preserve">Average Engagement Rate %:</t>
  </si>
  <si>
    <t xml:space="preserve">Total Channels:</t>
  </si>
  <si>
    <t xml:space="preserve">TOP PERFORMING CATEGORIES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</si>
</sst>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6"/>
      <color rgb="FFFFFFFF"/>
      <name val="Cambria"/>
      <family val="0"/>
      <charset val="1"/>
    </font>
    <font>
      <b val="true"/>
      <sz val="14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203764"/>
        <bgColor rgb="FF333333"/>
      </patternFill>
    </fill>
    <fill>
      <patternFill patternType="solid">
        <fgColor rgb="FF305496"/>
        <bgColor rgb="FF20376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203764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5"/>
    <col collapsed="false" customWidth="true" hidden="false" outlineLevel="0" max="4" min="3" style="0" width="22"/>
    <col collapsed="false" customWidth="true" hidden="false" outlineLevel="0" max="6" min="5" style="0" width="15"/>
    <col collapsed="false" customWidth="true" hidden="false" outlineLevel="0" max="9" min="7" style="0" width="12"/>
    <col collapsed="false" customWidth="true" hidden="false" outlineLevel="0" max="10" min="10" style="0" width="16"/>
    <col collapsed="false" customWidth="true" hidden="false" outlineLevel="0" max="11" min="11" style="0" width="12"/>
    <col collapsed="false" customWidth="true" hidden="false" outlineLevel="0" max="13" min="12" style="0" width="17"/>
    <col collapsed="false" customWidth="true" hidden="false" outlineLevel="0" max="14" min="14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0" t="s">
        <v>14</v>
      </c>
      <c r="B2" s="0" t="s">
        <v>15</v>
      </c>
      <c r="C2" s="0" t="s">
        <v>16</v>
      </c>
      <c r="D2" s="0" t="s">
        <v>17</v>
      </c>
      <c r="E2" s="0" t="s">
        <v>18</v>
      </c>
      <c r="F2" s="0" t="s">
        <v>19</v>
      </c>
      <c r="G2" s="0" t="n">
        <v>1314880</v>
      </c>
      <c r="H2" s="0" t="n">
        <v>36108</v>
      </c>
      <c r="I2" s="0" t="n">
        <v>13822</v>
      </c>
      <c r="J2" s="0" t="n">
        <v>25.6</v>
      </c>
      <c r="K2" s="0" t="n">
        <v>22</v>
      </c>
      <c r="L2" s="0" t="n">
        <v>291</v>
      </c>
      <c r="M2" s="0" t="s">
        <v>20</v>
      </c>
      <c r="N2" s="0" t="s">
        <v>21</v>
      </c>
    </row>
    <row r="3" customFormat="false" ht="15" hidden="false" customHeight="false" outlineLevel="0" collapsed="false">
      <c r="A3" s="0" t="s">
        <v>22</v>
      </c>
      <c r="B3" s="0" t="s">
        <v>23</v>
      </c>
      <c r="C3" s="0" t="s">
        <v>24</v>
      </c>
      <c r="D3" s="0" t="s">
        <v>25</v>
      </c>
      <c r="E3" s="0" t="s">
        <v>26</v>
      </c>
      <c r="F3" s="0" t="s">
        <v>27</v>
      </c>
      <c r="G3" s="0" t="n">
        <v>3613219</v>
      </c>
      <c r="H3" s="0" t="n">
        <v>144520</v>
      </c>
      <c r="I3" s="0" t="n">
        <v>45364</v>
      </c>
      <c r="J3" s="0" t="n">
        <v>34.9</v>
      </c>
      <c r="K3" s="0" t="n">
        <v>23</v>
      </c>
      <c r="L3" s="0" t="n">
        <v>392</v>
      </c>
      <c r="M3" s="0" t="s">
        <v>20</v>
      </c>
      <c r="N3" s="0" t="s">
        <v>28</v>
      </c>
    </row>
    <row r="4" customFormat="false" ht="15" hidden="false" customHeight="false" outlineLevel="0" collapsed="false">
      <c r="A4" s="0" t="s">
        <v>29</v>
      </c>
      <c r="B4" s="0" t="s">
        <v>30</v>
      </c>
      <c r="C4" s="0" t="s">
        <v>31</v>
      </c>
      <c r="D4" s="0" t="s">
        <v>32</v>
      </c>
      <c r="E4" s="0" t="s">
        <v>33</v>
      </c>
      <c r="F4" s="0" t="s">
        <v>34</v>
      </c>
      <c r="G4" s="0" t="n">
        <v>3986943</v>
      </c>
      <c r="H4" s="0" t="n">
        <v>171392</v>
      </c>
      <c r="I4" s="0" t="n">
        <v>54802</v>
      </c>
      <c r="J4" s="0" t="n">
        <v>54.7</v>
      </c>
      <c r="K4" s="0" t="n">
        <v>13</v>
      </c>
      <c r="L4" s="0" t="n">
        <v>642</v>
      </c>
      <c r="M4" s="0" t="s">
        <v>35</v>
      </c>
      <c r="N4" s="0" t="s">
        <v>21</v>
      </c>
    </row>
    <row r="5" customFormat="false" ht="15" hidden="false" customHeight="false" outlineLevel="0" collapsed="false">
      <c r="A5" s="0" t="s">
        <v>36</v>
      </c>
      <c r="B5" s="0" t="s">
        <v>37</v>
      </c>
      <c r="C5" s="0" t="s">
        <v>38</v>
      </c>
      <c r="D5" s="0" t="s">
        <v>39</v>
      </c>
      <c r="E5" s="0" t="s">
        <v>40</v>
      </c>
      <c r="F5" s="0" t="s">
        <v>41</v>
      </c>
      <c r="G5" s="0" t="n">
        <v>1615073</v>
      </c>
      <c r="H5" s="0" t="n">
        <v>74712</v>
      </c>
      <c r="I5" s="0" t="n">
        <v>15069</v>
      </c>
      <c r="J5" s="0" t="n">
        <v>45</v>
      </c>
      <c r="K5" s="0" t="n">
        <v>8</v>
      </c>
      <c r="L5" s="0" t="n">
        <v>179</v>
      </c>
      <c r="M5" s="0" t="s">
        <v>20</v>
      </c>
      <c r="N5" s="0" t="s">
        <v>42</v>
      </c>
    </row>
    <row r="6" customFormat="false" ht="15" hidden="false" customHeight="false" outlineLevel="0" collapsed="false">
      <c r="A6" s="0" t="s">
        <v>43</v>
      </c>
      <c r="B6" s="0" t="s">
        <v>44</v>
      </c>
      <c r="C6" s="0" t="s">
        <v>45</v>
      </c>
      <c r="D6" s="0" t="s">
        <v>46</v>
      </c>
      <c r="E6" s="0" t="s">
        <v>47</v>
      </c>
      <c r="F6" s="0" t="s">
        <v>48</v>
      </c>
      <c r="G6" s="0" t="n">
        <v>1432194</v>
      </c>
      <c r="H6" s="0" t="n">
        <v>37652</v>
      </c>
      <c r="I6" s="0" t="n">
        <v>11084</v>
      </c>
      <c r="J6" s="0" t="n">
        <v>18.6</v>
      </c>
      <c r="K6" s="0" t="n">
        <v>8</v>
      </c>
      <c r="L6" s="0" t="n">
        <v>553</v>
      </c>
      <c r="M6" s="0" t="s">
        <v>20</v>
      </c>
      <c r="N6" s="0" t="s">
        <v>28</v>
      </c>
    </row>
    <row r="7" customFormat="false" ht="15" hidden="false" customHeight="false" outlineLevel="0" collapsed="false">
      <c r="A7" s="0" t="s">
        <v>49</v>
      </c>
      <c r="B7" s="0" t="s">
        <v>50</v>
      </c>
      <c r="C7" s="0" t="s">
        <v>51</v>
      </c>
      <c r="D7" s="0" t="s">
        <v>17</v>
      </c>
      <c r="E7" s="0" t="s">
        <v>52</v>
      </c>
      <c r="F7" s="0" t="s">
        <v>53</v>
      </c>
      <c r="G7" s="0" t="n">
        <v>2621434</v>
      </c>
      <c r="H7" s="0" t="n">
        <v>74225</v>
      </c>
      <c r="I7" s="0" t="n">
        <v>19547</v>
      </c>
      <c r="J7" s="0" t="n">
        <v>6.4</v>
      </c>
      <c r="K7" s="0" t="n">
        <v>14</v>
      </c>
      <c r="L7" s="0" t="n">
        <v>477</v>
      </c>
      <c r="M7" s="0" t="s">
        <v>54</v>
      </c>
      <c r="N7" s="0" t="s">
        <v>55</v>
      </c>
    </row>
    <row r="8" customFormat="false" ht="15" hidden="false" customHeight="false" outlineLevel="0" collapsed="false">
      <c r="A8" s="0" t="s">
        <v>56</v>
      </c>
      <c r="B8" s="0" t="s">
        <v>57</v>
      </c>
      <c r="C8" s="0" t="s">
        <v>58</v>
      </c>
      <c r="D8" s="0" t="s">
        <v>59</v>
      </c>
      <c r="E8" s="0" t="s">
        <v>60</v>
      </c>
      <c r="F8" s="0" t="s">
        <v>61</v>
      </c>
      <c r="G8" s="0" t="n">
        <v>3370776</v>
      </c>
      <c r="H8" s="0" t="n">
        <v>188673</v>
      </c>
      <c r="I8" s="0" t="n">
        <v>44791</v>
      </c>
      <c r="J8" s="0" t="n">
        <v>3.8</v>
      </c>
      <c r="K8" s="0" t="n">
        <v>13</v>
      </c>
      <c r="L8" s="0" t="n">
        <v>274</v>
      </c>
      <c r="M8" s="0" t="s">
        <v>54</v>
      </c>
      <c r="N8" s="0" t="s">
        <v>55</v>
      </c>
    </row>
    <row r="9" customFormat="false" ht="15" hidden="false" customHeight="false" outlineLevel="0" collapsed="false">
      <c r="A9" s="0" t="s">
        <v>62</v>
      </c>
      <c r="B9" s="0" t="s">
        <v>63</v>
      </c>
      <c r="C9" s="0" t="s">
        <v>64</v>
      </c>
      <c r="D9" s="0" t="s">
        <v>65</v>
      </c>
      <c r="E9" s="0" t="s">
        <v>61</v>
      </c>
      <c r="F9" s="0" t="s">
        <v>66</v>
      </c>
      <c r="G9" s="0" t="n">
        <v>1616714</v>
      </c>
      <c r="H9" s="0" t="n">
        <v>38382</v>
      </c>
      <c r="I9" s="0" t="n">
        <v>9514</v>
      </c>
      <c r="J9" s="0" t="n">
        <v>19.6</v>
      </c>
      <c r="K9" s="0" t="n">
        <v>18</v>
      </c>
      <c r="L9" s="0" t="n">
        <v>618</v>
      </c>
      <c r="M9" s="0" t="s">
        <v>54</v>
      </c>
      <c r="N9" s="0" t="s">
        <v>67</v>
      </c>
    </row>
    <row r="10" customFormat="false" ht="15" hidden="false" customHeight="false" outlineLevel="0" collapsed="false">
      <c r="A10" s="0" t="s">
        <v>68</v>
      </c>
      <c r="B10" s="0" t="s">
        <v>69</v>
      </c>
      <c r="C10" s="0" t="s">
        <v>70</v>
      </c>
      <c r="D10" s="0" t="s">
        <v>71</v>
      </c>
      <c r="E10" s="0" t="s">
        <v>72</v>
      </c>
      <c r="F10" s="0" t="s">
        <v>73</v>
      </c>
      <c r="G10" s="0" t="n">
        <v>1635409</v>
      </c>
      <c r="H10" s="0" t="n">
        <v>33947</v>
      </c>
      <c r="I10" s="0" t="n">
        <v>9132</v>
      </c>
      <c r="J10" s="0" t="n">
        <v>55.8</v>
      </c>
      <c r="K10" s="0" t="n">
        <v>13</v>
      </c>
      <c r="L10" s="0" t="n">
        <v>540</v>
      </c>
      <c r="M10" s="0" t="s">
        <v>54</v>
      </c>
      <c r="N10" s="0" t="s">
        <v>74</v>
      </c>
    </row>
    <row r="11" customFormat="false" ht="15" hidden="false" customHeight="false" outlineLevel="0" collapsed="false">
      <c r="A11" s="0" t="s">
        <v>75</v>
      </c>
      <c r="B11" s="0" t="s">
        <v>76</v>
      </c>
      <c r="C11" s="0" t="s">
        <v>77</v>
      </c>
      <c r="D11" s="0" t="s">
        <v>78</v>
      </c>
      <c r="E11" s="0" t="s">
        <v>79</v>
      </c>
      <c r="F11" s="0" t="s">
        <v>80</v>
      </c>
      <c r="G11" s="0" t="n">
        <v>3817952</v>
      </c>
      <c r="H11" s="0" t="n">
        <v>160935</v>
      </c>
      <c r="I11" s="0" t="n">
        <v>49529</v>
      </c>
      <c r="J11" s="0" t="n">
        <v>36.3</v>
      </c>
      <c r="K11" s="0" t="n">
        <v>15</v>
      </c>
      <c r="L11" s="0" t="n">
        <v>163</v>
      </c>
      <c r="M11" s="0" t="s">
        <v>20</v>
      </c>
      <c r="N11" s="0" t="s">
        <v>81</v>
      </c>
    </row>
    <row r="12" customFormat="false" ht="15" hidden="false" customHeight="false" outlineLevel="0" collapsed="false">
      <c r="A12" s="0" t="s">
        <v>82</v>
      </c>
      <c r="B12" s="0" t="s">
        <v>83</v>
      </c>
      <c r="C12" s="0" t="s">
        <v>84</v>
      </c>
      <c r="D12" s="0" t="s">
        <v>17</v>
      </c>
      <c r="E12" s="0" t="s">
        <v>85</v>
      </c>
      <c r="F12" s="0" t="s">
        <v>19</v>
      </c>
      <c r="G12" s="0" t="n">
        <v>2719566</v>
      </c>
      <c r="H12" s="0" t="n">
        <v>74420</v>
      </c>
      <c r="I12" s="0" t="n">
        <v>25610</v>
      </c>
      <c r="J12" s="0" t="n">
        <v>38.2</v>
      </c>
      <c r="K12" s="0" t="n">
        <v>18</v>
      </c>
      <c r="L12" s="0" t="n">
        <v>328</v>
      </c>
      <c r="M12" s="0" t="s">
        <v>35</v>
      </c>
      <c r="N12" s="0" t="s">
        <v>42</v>
      </c>
    </row>
    <row r="13" customFormat="false" ht="15" hidden="false" customHeight="false" outlineLevel="0" collapsed="false">
      <c r="A13" s="0" t="s">
        <v>86</v>
      </c>
      <c r="B13" s="0" t="s">
        <v>87</v>
      </c>
      <c r="C13" s="0" t="s">
        <v>88</v>
      </c>
      <c r="D13" s="0" t="s">
        <v>89</v>
      </c>
      <c r="E13" s="0" t="s">
        <v>40</v>
      </c>
      <c r="F13" s="0" t="s">
        <v>90</v>
      </c>
      <c r="G13" s="0" t="n">
        <v>1444132</v>
      </c>
      <c r="H13" s="0" t="n">
        <v>37663</v>
      </c>
      <c r="I13" s="0" t="n">
        <v>9512</v>
      </c>
      <c r="J13" s="0" t="n">
        <v>11.2</v>
      </c>
      <c r="K13" s="0" t="n">
        <v>25</v>
      </c>
      <c r="L13" s="0" t="n">
        <v>655</v>
      </c>
      <c r="M13" s="0" t="s">
        <v>20</v>
      </c>
      <c r="N13" s="0" t="s">
        <v>21</v>
      </c>
    </row>
    <row r="14" customFormat="false" ht="15" hidden="false" customHeight="false" outlineLevel="0" collapsed="false">
      <c r="A14" s="0" t="s">
        <v>91</v>
      </c>
      <c r="B14" s="0" t="s">
        <v>92</v>
      </c>
      <c r="C14" s="0" t="s">
        <v>93</v>
      </c>
      <c r="D14" s="0" t="s">
        <v>71</v>
      </c>
      <c r="E14" s="0" t="s">
        <v>94</v>
      </c>
      <c r="F14" s="0" t="s">
        <v>95</v>
      </c>
      <c r="G14" s="0" t="n">
        <v>1365121</v>
      </c>
      <c r="H14" s="0" t="n">
        <v>27125</v>
      </c>
      <c r="I14" s="0" t="n">
        <v>9423</v>
      </c>
      <c r="J14" s="0" t="n">
        <v>17.9</v>
      </c>
      <c r="K14" s="0" t="n">
        <v>11</v>
      </c>
      <c r="L14" s="0" t="n">
        <v>777</v>
      </c>
      <c r="M14" s="0" t="s">
        <v>35</v>
      </c>
      <c r="N14" s="0" t="s">
        <v>96</v>
      </c>
    </row>
    <row r="15" customFormat="false" ht="15" hidden="false" customHeight="false" outlineLevel="0" collapsed="false">
      <c r="A15" s="0" t="s">
        <v>97</v>
      </c>
      <c r="B15" s="0" t="s">
        <v>98</v>
      </c>
      <c r="C15" s="0" t="s">
        <v>99</v>
      </c>
      <c r="D15" s="0" t="s">
        <v>32</v>
      </c>
      <c r="E15" s="0" t="s">
        <v>100</v>
      </c>
      <c r="F15" s="0" t="s">
        <v>101</v>
      </c>
      <c r="G15" s="0" t="n">
        <v>6021994</v>
      </c>
      <c r="H15" s="0" t="n">
        <v>250288</v>
      </c>
      <c r="I15" s="0" t="n">
        <v>64989</v>
      </c>
      <c r="J15" s="0" t="n">
        <v>46.5</v>
      </c>
      <c r="K15" s="0" t="n">
        <v>24</v>
      </c>
      <c r="L15" s="0" t="n">
        <v>380</v>
      </c>
      <c r="M15" s="0" t="s">
        <v>20</v>
      </c>
      <c r="N15" s="0" t="s">
        <v>102</v>
      </c>
    </row>
    <row r="16" customFormat="false" ht="15" hidden="false" customHeight="false" outlineLevel="0" collapsed="false">
      <c r="A16" s="0" t="s">
        <v>103</v>
      </c>
      <c r="B16" s="0" t="s">
        <v>104</v>
      </c>
      <c r="C16" s="0" t="s">
        <v>105</v>
      </c>
      <c r="D16" s="0" t="s">
        <v>89</v>
      </c>
      <c r="E16" s="0" t="s">
        <v>34</v>
      </c>
      <c r="F16" s="0" t="s">
        <v>106</v>
      </c>
      <c r="G16" s="0" t="n">
        <v>1945097</v>
      </c>
      <c r="H16" s="0" t="n">
        <v>38259</v>
      </c>
      <c r="I16" s="0" t="n">
        <v>10937</v>
      </c>
      <c r="J16" s="0" t="n">
        <v>44.6</v>
      </c>
      <c r="K16" s="0" t="n">
        <v>10</v>
      </c>
      <c r="L16" s="0" t="n">
        <v>442</v>
      </c>
      <c r="M16" s="0" t="s">
        <v>35</v>
      </c>
      <c r="N16" s="0" t="s">
        <v>81</v>
      </c>
    </row>
    <row r="17" customFormat="false" ht="15" hidden="false" customHeight="false" outlineLevel="0" collapsed="false">
      <c r="A17" s="0" t="s">
        <v>107</v>
      </c>
      <c r="B17" s="0" t="s">
        <v>108</v>
      </c>
      <c r="C17" s="0" t="s">
        <v>64</v>
      </c>
      <c r="D17" s="0" t="s">
        <v>109</v>
      </c>
      <c r="E17" s="0" t="s">
        <v>110</v>
      </c>
      <c r="F17" s="0" t="s">
        <v>111</v>
      </c>
      <c r="G17" s="0" t="n">
        <v>1088928</v>
      </c>
      <c r="H17" s="0" t="n">
        <v>41265</v>
      </c>
      <c r="I17" s="0" t="n">
        <v>10330</v>
      </c>
      <c r="J17" s="0" t="n">
        <v>17.4</v>
      </c>
      <c r="K17" s="0" t="n">
        <v>18</v>
      </c>
      <c r="L17" s="0" t="n">
        <v>704</v>
      </c>
      <c r="M17" s="0" t="s">
        <v>20</v>
      </c>
      <c r="N17" s="0" t="s">
        <v>67</v>
      </c>
    </row>
    <row r="18" customFormat="false" ht="15" hidden="false" customHeight="false" outlineLevel="0" collapsed="false">
      <c r="A18" s="0" t="s">
        <v>112</v>
      </c>
      <c r="B18" s="0" t="s">
        <v>113</v>
      </c>
      <c r="C18" s="0" t="s">
        <v>114</v>
      </c>
      <c r="D18" s="0" t="s">
        <v>46</v>
      </c>
      <c r="E18" s="0" t="s">
        <v>115</v>
      </c>
      <c r="F18" s="0" t="s">
        <v>116</v>
      </c>
      <c r="G18" s="0" t="n">
        <v>2642676</v>
      </c>
      <c r="H18" s="0" t="n">
        <v>86832</v>
      </c>
      <c r="I18" s="0" t="n">
        <v>23651</v>
      </c>
      <c r="J18" s="0" t="n">
        <v>46.2</v>
      </c>
      <c r="K18" s="0" t="n">
        <v>21</v>
      </c>
      <c r="L18" s="0" t="n">
        <v>296</v>
      </c>
      <c r="M18" s="0" t="s">
        <v>20</v>
      </c>
      <c r="N18" s="0" t="s">
        <v>28</v>
      </c>
    </row>
    <row r="19" customFormat="false" ht="15" hidden="false" customHeight="false" outlineLevel="0" collapsed="false">
      <c r="A19" s="0" t="s">
        <v>117</v>
      </c>
      <c r="B19" s="0" t="s">
        <v>118</v>
      </c>
      <c r="C19" s="0" t="s">
        <v>119</v>
      </c>
      <c r="D19" s="0" t="s">
        <v>89</v>
      </c>
      <c r="E19" s="0" t="s">
        <v>120</v>
      </c>
      <c r="F19" s="0" t="s">
        <v>121</v>
      </c>
      <c r="G19" s="0" t="n">
        <v>1654745</v>
      </c>
      <c r="H19" s="0" t="n">
        <v>40794</v>
      </c>
      <c r="I19" s="0" t="n">
        <v>15789</v>
      </c>
      <c r="J19" s="0" t="n">
        <v>55.9</v>
      </c>
      <c r="K19" s="0" t="n">
        <v>20</v>
      </c>
      <c r="L19" s="0" t="n">
        <v>237</v>
      </c>
      <c r="M19" s="0" t="s">
        <v>20</v>
      </c>
      <c r="N19" s="0" t="s">
        <v>122</v>
      </c>
    </row>
    <row r="20" customFormat="false" ht="15" hidden="false" customHeight="false" outlineLevel="0" collapsed="false">
      <c r="A20" s="0" t="s">
        <v>123</v>
      </c>
      <c r="B20" s="0" t="s">
        <v>108</v>
      </c>
      <c r="C20" s="0" t="s">
        <v>124</v>
      </c>
      <c r="D20" s="0" t="s">
        <v>109</v>
      </c>
      <c r="E20" s="0" t="s">
        <v>125</v>
      </c>
      <c r="F20" s="0" t="s">
        <v>126</v>
      </c>
      <c r="G20" s="0" t="n">
        <v>1230566</v>
      </c>
      <c r="H20" s="0" t="n">
        <v>33891</v>
      </c>
      <c r="I20" s="0" t="n">
        <v>10272</v>
      </c>
      <c r="J20" s="0" t="n">
        <v>54.1</v>
      </c>
      <c r="K20" s="0" t="n">
        <v>15</v>
      </c>
      <c r="L20" s="0" t="n">
        <v>270</v>
      </c>
      <c r="M20" s="0" t="s">
        <v>54</v>
      </c>
      <c r="N20" s="0" t="s">
        <v>74</v>
      </c>
    </row>
    <row r="21" customFormat="false" ht="15" hidden="false" customHeight="false" outlineLevel="0" collapsed="false">
      <c r="A21" s="0" t="s">
        <v>127</v>
      </c>
      <c r="B21" s="0" t="s">
        <v>128</v>
      </c>
      <c r="C21" s="0" t="s">
        <v>129</v>
      </c>
      <c r="D21" s="0" t="s">
        <v>32</v>
      </c>
      <c r="E21" s="0" t="s">
        <v>26</v>
      </c>
      <c r="F21" s="0" t="s">
        <v>130</v>
      </c>
      <c r="G21" s="0" t="n">
        <v>3957125</v>
      </c>
      <c r="H21" s="0" t="n">
        <v>122099</v>
      </c>
      <c r="I21" s="0" t="n">
        <v>32721</v>
      </c>
      <c r="J21" s="0" t="n">
        <v>55.4</v>
      </c>
      <c r="K21" s="0" t="n">
        <v>12</v>
      </c>
      <c r="L21" s="0" t="n">
        <v>365</v>
      </c>
      <c r="M21" s="0" t="s">
        <v>54</v>
      </c>
      <c r="N21" s="0" t="s">
        <v>122</v>
      </c>
    </row>
    <row r="22" customFormat="false" ht="15" hidden="false" customHeight="false" outlineLevel="0" collapsed="false">
      <c r="A22" s="0" t="s">
        <v>131</v>
      </c>
      <c r="B22" s="0" t="s">
        <v>132</v>
      </c>
      <c r="C22" s="0" t="s">
        <v>133</v>
      </c>
      <c r="D22" s="0" t="s">
        <v>39</v>
      </c>
      <c r="E22" s="0" t="s">
        <v>134</v>
      </c>
      <c r="F22" s="0" t="s">
        <v>40</v>
      </c>
      <c r="G22" s="0" t="n">
        <v>3439071</v>
      </c>
      <c r="H22" s="0" t="n">
        <v>128247</v>
      </c>
      <c r="I22" s="0" t="n">
        <v>41206</v>
      </c>
      <c r="J22" s="0" t="n">
        <v>22.7</v>
      </c>
      <c r="K22" s="0" t="n">
        <v>18</v>
      </c>
      <c r="L22" s="0" t="n">
        <v>570</v>
      </c>
      <c r="M22" s="0" t="s">
        <v>35</v>
      </c>
      <c r="N22" s="0" t="s">
        <v>55</v>
      </c>
    </row>
    <row r="23" customFormat="false" ht="15" hidden="false" customHeight="false" outlineLevel="0" collapsed="false">
      <c r="A23" s="0" t="s">
        <v>135</v>
      </c>
      <c r="B23" s="0" t="s">
        <v>136</v>
      </c>
      <c r="C23" s="0" t="s">
        <v>137</v>
      </c>
      <c r="D23" s="0" t="s">
        <v>71</v>
      </c>
      <c r="E23" s="0" t="s">
        <v>138</v>
      </c>
      <c r="F23" s="0" t="s">
        <v>139</v>
      </c>
      <c r="G23" s="0" t="n">
        <v>1424534</v>
      </c>
      <c r="H23" s="0" t="n">
        <v>38980</v>
      </c>
      <c r="I23" s="0" t="n">
        <v>11587</v>
      </c>
      <c r="J23" s="0" t="n">
        <v>27</v>
      </c>
      <c r="K23" s="0" t="n">
        <v>9</v>
      </c>
      <c r="L23" s="0" t="n">
        <v>161</v>
      </c>
      <c r="M23" s="0" t="s">
        <v>54</v>
      </c>
      <c r="N23" s="0" t="s">
        <v>140</v>
      </c>
    </row>
    <row r="24" customFormat="false" ht="15" hidden="false" customHeight="false" outlineLevel="0" collapsed="false">
      <c r="A24" s="0" t="s">
        <v>141</v>
      </c>
      <c r="B24" s="0" t="s">
        <v>142</v>
      </c>
      <c r="C24" s="0" t="s">
        <v>143</v>
      </c>
      <c r="D24" s="0" t="s">
        <v>144</v>
      </c>
      <c r="E24" s="0" t="s">
        <v>80</v>
      </c>
      <c r="F24" s="0" t="s">
        <v>145</v>
      </c>
      <c r="G24" s="0" t="n">
        <v>2134452</v>
      </c>
      <c r="H24" s="0" t="n">
        <v>50542</v>
      </c>
      <c r="I24" s="0" t="n">
        <v>18850</v>
      </c>
      <c r="J24" s="0" t="n">
        <v>34</v>
      </c>
      <c r="K24" s="0" t="n">
        <v>18</v>
      </c>
      <c r="L24" s="0" t="n">
        <v>714</v>
      </c>
      <c r="M24" s="0" t="s">
        <v>20</v>
      </c>
      <c r="N24" s="0" t="s">
        <v>96</v>
      </c>
    </row>
    <row r="25" customFormat="false" ht="15" hidden="false" customHeight="false" outlineLevel="0" collapsed="false">
      <c r="A25" s="0" t="s">
        <v>146</v>
      </c>
      <c r="B25" s="0" t="s">
        <v>147</v>
      </c>
      <c r="C25" s="0" t="s">
        <v>148</v>
      </c>
      <c r="D25" s="0" t="s">
        <v>71</v>
      </c>
      <c r="E25" s="0" t="s">
        <v>126</v>
      </c>
      <c r="F25" s="0" t="s">
        <v>149</v>
      </c>
      <c r="G25" s="0" t="n">
        <v>918464</v>
      </c>
      <c r="H25" s="0" t="n">
        <v>20438</v>
      </c>
      <c r="I25" s="0" t="n">
        <v>4533</v>
      </c>
      <c r="J25" s="0" t="n">
        <v>9.2</v>
      </c>
      <c r="K25" s="0" t="n">
        <v>21</v>
      </c>
      <c r="L25" s="0" t="n">
        <v>210</v>
      </c>
      <c r="M25" s="0" t="s">
        <v>54</v>
      </c>
      <c r="N25" s="0" t="s">
        <v>55</v>
      </c>
    </row>
    <row r="26" customFormat="false" ht="15" hidden="false" customHeight="false" outlineLevel="0" collapsed="false">
      <c r="A26" s="0" t="s">
        <v>150</v>
      </c>
      <c r="B26" s="0" t="s">
        <v>151</v>
      </c>
      <c r="C26" s="0" t="s">
        <v>152</v>
      </c>
      <c r="D26" s="0" t="s">
        <v>65</v>
      </c>
      <c r="E26" s="0" t="s">
        <v>153</v>
      </c>
      <c r="F26" s="0" t="s">
        <v>154</v>
      </c>
      <c r="G26" s="0" t="n">
        <v>1136889</v>
      </c>
      <c r="H26" s="0" t="n">
        <v>33526</v>
      </c>
      <c r="I26" s="0" t="n">
        <v>7233</v>
      </c>
      <c r="J26" s="0" t="n">
        <v>27.9</v>
      </c>
      <c r="K26" s="0" t="n">
        <v>15</v>
      </c>
      <c r="L26" s="0" t="n">
        <v>795</v>
      </c>
      <c r="M26" s="0" t="s">
        <v>54</v>
      </c>
      <c r="N26" s="0" t="s">
        <v>55</v>
      </c>
    </row>
    <row r="27" customFormat="false" ht="15" hidden="false" customHeight="false" outlineLevel="0" collapsed="false">
      <c r="A27" s="0" t="s">
        <v>155</v>
      </c>
      <c r="B27" s="0" t="s">
        <v>156</v>
      </c>
      <c r="C27" s="0" t="s">
        <v>157</v>
      </c>
      <c r="D27" s="0" t="s">
        <v>78</v>
      </c>
      <c r="E27" s="0" t="s">
        <v>158</v>
      </c>
      <c r="F27" s="0" t="s">
        <v>159</v>
      </c>
      <c r="G27" s="0" t="n">
        <v>5060332</v>
      </c>
      <c r="H27" s="0" t="n">
        <v>145111</v>
      </c>
      <c r="I27" s="0" t="n">
        <v>51154</v>
      </c>
      <c r="J27" s="0" t="n">
        <v>32.2</v>
      </c>
      <c r="K27" s="0" t="n">
        <v>14</v>
      </c>
      <c r="L27" s="0" t="n">
        <v>164</v>
      </c>
      <c r="M27" s="0" t="s">
        <v>20</v>
      </c>
      <c r="N27" s="0" t="s">
        <v>122</v>
      </c>
    </row>
    <row r="28" customFormat="false" ht="15" hidden="false" customHeight="false" outlineLevel="0" collapsed="false">
      <c r="A28" s="0" t="s">
        <v>160</v>
      </c>
      <c r="B28" s="0" t="s">
        <v>161</v>
      </c>
      <c r="C28" s="0" t="s">
        <v>162</v>
      </c>
      <c r="D28" s="0" t="s">
        <v>59</v>
      </c>
      <c r="E28" s="0" t="s">
        <v>163</v>
      </c>
      <c r="F28" s="0" t="s">
        <v>164</v>
      </c>
      <c r="G28" s="0" t="n">
        <v>4010048</v>
      </c>
      <c r="H28" s="0" t="n">
        <v>239859</v>
      </c>
      <c r="I28" s="0" t="n">
        <v>60693</v>
      </c>
      <c r="J28" s="0" t="n">
        <v>28.5</v>
      </c>
      <c r="K28" s="0" t="n">
        <v>6</v>
      </c>
      <c r="L28" s="0" t="n">
        <v>359</v>
      </c>
      <c r="M28" s="0" t="s">
        <v>20</v>
      </c>
      <c r="N28" s="0" t="s">
        <v>28</v>
      </c>
    </row>
    <row r="29" customFormat="false" ht="15" hidden="false" customHeight="false" outlineLevel="0" collapsed="false">
      <c r="A29" s="0" t="s">
        <v>165</v>
      </c>
      <c r="B29" s="0" t="s">
        <v>166</v>
      </c>
      <c r="C29" s="0" t="s">
        <v>167</v>
      </c>
      <c r="D29" s="0" t="s">
        <v>59</v>
      </c>
      <c r="E29" s="0" t="s">
        <v>168</v>
      </c>
      <c r="F29" s="0" t="s">
        <v>19</v>
      </c>
      <c r="G29" s="0" t="n">
        <v>2107507</v>
      </c>
      <c r="H29" s="0" t="n">
        <v>78501</v>
      </c>
      <c r="I29" s="0" t="n">
        <v>25052</v>
      </c>
      <c r="J29" s="0" t="n">
        <v>19.3</v>
      </c>
      <c r="K29" s="0" t="n">
        <v>18</v>
      </c>
      <c r="L29" s="0" t="n">
        <v>599</v>
      </c>
      <c r="M29" s="0" t="s">
        <v>35</v>
      </c>
      <c r="N29" s="0" t="s">
        <v>169</v>
      </c>
    </row>
    <row r="30" customFormat="false" ht="15" hidden="false" customHeight="false" outlineLevel="0" collapsed="false">
      <c r="A30" s="0" t="s">
        <v>170</v>
      </c>
      <c r="B30" s="0" t="s">
        <v>171</v>
      </c>
      <c r="C30" s="0" t="s">
        <v>172</v>
      </c>
      <c r="D30" s="0" t="s">
        <v>32</v>
      </c>
      <c r="E30" s="0" t="s">
        <v>85</v>
      </c>
      <c r="F30" s="0" t="s">
        <v>19</v>
      </c>
      <c r="G30" s="0" t="n">
        <v>5921341</v>
      </c>
      <c r="H30" s="0" t="n">
        <v>203687</v>
      </c>
      <c r="I30" s="0" t="n">
        <v>47768</v>
      </c>
      <c r="J30" s="0" t="n">
        <v>9.3</v>
      </c>
      <c r="K30" s="0" t="n">
        <v>23</v>
      </c>
      <c r="L30" s="0" t="n">
        <v>367</v>
      </c>
      <c r="M30" s="0" t="s">
        <v>54</v>
      </c>
      <c r="N30" s="0" t="s">
        <v>81</v>
      </c>
    </row>
    <row r="31" customFormat="false" ht="15" hidden="false" customHeight="false" outlineLevel="0" collapsed="false">
      <c r="A31" s="0" t="s">
        <v>173</v>
      </c>
      <c r="B31" s="0" t="s">
        <v>174</v>
      </c>
      <c r="C31" s="0" t="s">
        <v>175</v>
      </c>
      <c r="D31" s="0" t="s">
        <v>71</v>
      </c>
      <c r="E31" s="0" t="s">
        <v>176</v>
      </c>
      <c r="F31" s="0" t="s">
        <v>177</v>
      </c>
      <c r="G31" s="0" t="n">
        <v>1589127</v>
      </c>
      <c r="H31" s="0" t="n">
        <v>41806</v>
      </c>
      <c r="I31" s="0" t="n">
        <v>10454</v>
      </c>
      <c r="J31" s="0" t="n">
        <v>38.9</v>
      </c>
      <c r="K31" s="0" t="n">
        <v>9</v>
      </c>
      <c r="L31" s="0" t="n">
        <v>540</v>
      </c>
      <c r="M31" s="0" t="s">
        <v>20</v>
      </c>
      <c r="N31" s="0" t="s">
        <v>42</v>
      </c>
    </row>
    <row r="32" customFormat="false" ht="15" hidden="false" customHeight="false" outlineLevel="0" collapsed="false">
      <c r="A32" s="0" t="s">
        <v>178</v>
      </c>
      <c r="B32" s="0" t="s">
        <v>179</v>
      </c>
      <c r="C32" s="0" t="s">
        <v>180</v>
      </c>
      <c r="D32" s="0" t="s">
        <v>144</v>
      </c>
      <c r="E32" s="0" t="s">
        <v>181</v>
      </c>
      <c r="F32" s="0" t="s">
        <v>182</v>
      </c>
      <c r="G32" s="0" t="n">
        <v>1761375</v>
      </c>
      <c r="H32" s="0" t="n">
        <v>45250</v>
      </c>
      <c r="I32" s="0" t="n">
        <v>11571</v>
      </c>
      <c r="J32" s="0" t="n">
        <v>57.8</v>
      </c>
      <c r="K32" s="0" t="n">
        <v>17</v>
      </c>
      <c r="L32" s="0" t="n">
        <v>646</v>
      </c>
      <c r="M32" s="0" t="s">
        <v>54</v>
      </c>
      <c r="N32" s="0" t="s">
        <v>55</v>
      </c>
    </row>
    <row r="33" customFormat="false" ht="15" hidden="false" customHeight="false" outlineLevel="0" collapsed="false">
      <c r="A33" s="0" t="s">
        <v>183</v>
      </c>
      <c r="B33" s="0" t="s">
        <v>184</v>
      </c>
      <c r="C33" s="0" t="s">
        <v>185</v>
      </c>
      <c r="D33" s="0" t="s">
        <v>78</v>
      </c>
      <c r="E33" s="0" t="s">
        <v>66</v>
      </c>
      <c r="F33" s="0" t="s">
        <v>186</v>
      </c>
      <c r="G33" s="0" t="n">
        <v>2059245</v>
      </c>
      <c r="H33" s="0" t="n">
        <v>60347</v>
      </c>
      <c r="I33" s="0" t="n">
        <v>17886</v>
      </c>
      <c r="J33" s="0" t="n">
        <v>17.5</v>
      </c>
      <c r="K33" s="0" t="n">
        <v>22</v>
      </c>
      <c r="L33" s="0" t="n">
        <v>600</v>
      </c>
      <c r="M33" s="0" t="s">
        <v>20</v>
      </c>
      <c r="N33" s="0" t="s">
        <v>122</v>
      </c>
    </row>
    <row r="34" customFormat="false" ht="15" hidden="false" customHeight="false" outlineLevel="0" collapsed="false">
      <c r="A34" s="0" t="s">
        <v>187</v>
      </c>
      <c r="B34" s="0" t="s">
        <v>188</v>
      </c>
      <c r="C34" s="0" t="s">
        <v>189</v>
      </c>
      <c r="D34" s="0" t="s">
        <v>109</v>
      </c>
      <c r="E34" s="0" t="s">
        <v>101</v>
      </c>
      <c r="F34" s="0" t="s">
        <v>186</v>
      </c>
      <c r="G34" s="0" t="n">
        <v>1873000</v>
      </c>
      <c r="H34" s="0" t="n">
        <v>59175</v>
      </c>
      <c r="I34" s="0" t="n">
        <v>14738</v>
      </c>
      <c r="J34" s="0" t="n">
        <v>31.6</v>
      </c>
      <c r="K34" s="0" t="n">
        <v>20</v>
      </c>
      <c r="L34" s="0" t="n">
        <v>348</v>
      </c>
      <c r="M34" s="0" t="s">
        <v>20</v>
      </c>
      <c r="N34" s="0" t="s">
        <v>74</v>
      </c>
    </row>
    <row r="35" customFormat="false" ht="15" hidden="false" customHeight="false" outlineLevel="0" collapsed="false">
      <c r="A35" s="0" t="s">
        <v>190</v>
      </c>
      <c r="B35" s="0" t="s">
        <v>191</v>
      </c>
      <c r="C35" s="0" t="s">
        <v>192</v>
      </c>
      <c r="D35" s="0" t="s">
        <v>39</v>
      </c>
      <c r="E35" s="0" t="s">
        <v>130</v>
      </c>
      <c r="F35" s="0" t="s">
        <v>193</v>
      </c>
      <c r="G35" s="0" t="n">
        <v>3517435</v>
      </c>
      <c r="H35" s="0" t="n">
        <v>147184</v>
      </c>
      <c r="I35" s="0" t="n">
        <v>35657</v>
      </c>
      <c r="J35" s="0" t="n">
        <v>46.3</v>
      </c>
      <c r="K35" s="0" t="n">
        <v>6</v>
      </c>
      <c r="L35" s="0" t="n">
        <v>300</v>
      </c>
      <c r="M35" s="0" t="s">
        <v>54</v>
      </c>
      <c r="N35" s="0" t="s">
        <v>122</v>
      </c>
    </row>
    <row r="36" customFormat="false" ht="15" hidden="false" customHeight="false" outlineLevel="0" collapsed="false">
      <c r="A36" s="0" t="s">
        <v>194</v>
      </c>
      <c r="B36" s="0" t="s">
        <v>195</v>
      </c>
      <c r="C36" s="0" t="s">
        <v>196</v>
      </c>
      <c r="D36" s="0" t="s">
        <v>78</v>
      </c>
      <c r="E36" s="0" t="s">
        <v>197</v>
      </c>
      <c r="F36" s="0" t="s">
        <v>198</v>
      </c>
      <c r="G36" s="0" t="n">
        <v>3700436</v>
      </c>
      <c r="H36" s="0" t="n">
        <v>148854</v>
      </c>
      <c r="I36" s="0" t="n">
        <v>33682</v>
      </c>
      <c r="J36" s="0" t="n">
        <v>5.1</v>
      </c>
      <c r="K36" s="0" t="n">
        <v>18</v>
      </c>
      <c r="L36" s="0" t="n">
        <v>442</v>
      </c>
      <c r="M36" s="0" t="s">
        <v>35</v>
      </c>
      <c r="N36" s="0" t="s">
        <v>102</v>
      </c>
    </row>
    <row r="37" customFormat="false" ht="15" hidden="false" customHeight="false" outlineLevel="0" collapsed="false">
      <c r="A37" s="0" t="s">
        <v>199</v>
      </c>
      <c r="B37" s="0" t="s">
        <v>200</v>
      </c>
      <c r="C37" s="0" t="s">
        <v>201</v>
      </c>
      <c r="D37" s="0" t="s">
        <v>144</v>
      </c>
      <c r="E37" s="0" t="s">
        <v>72</v>
      </c>
      <c r="F37" s="0" t="s">
        <v>34</v>
      </c>
      <c r="G37" s="0" t="n">
        <v>2376782</v>
      </c>
      <c r="H37" s="0" t="n">
        <v>48184</v>
      </c>
      <c r="I37" s="0" t="n">
        <v>15836</v>
      </c>
      <c r="J37" s="0" t="n">
        <v>54.2</v>
      </c>
      <c r="K37" s="0" t="n">
        <v>18</v>
      </c>
      <c r="L37" s="0" t="n">
        <v>512</v>
      </c>
      <c r="M37" s="0" t="s">
        <v>35</v>
      </c>
      <c r="N37" s="0" t="s">
        <v>55</v>
      </c>
    </row>
    <row r="38" customFormat="false" ht="15" hidden="false" customHeight="false" outlineLevel="0" collapsed="false">
      <c r="A38" s="0" t="s">
        <v>202</v>
      </c>
      <c r="B38" s="0" t="s">
        <v>203</v>
      </c>
      <c r="C38" s="0" t="s">
        <v>196</v>
      </c>
      <c r="D38" s="0" t="s">
        <v>144</v>
      </c>
      <c r="E38" s="0" t="s">
        <v>204</v>
      </c>
      <c r="F38" s="0" t="s">
        <v>205</v>
      </c>
      <c r="G38" s="0" t="n">
        <v>2090538</v>
      </c>
      <c r="H38" s="0" t="n">
        <v>58626</v>
      </c>
      <c r="I38" s="0" t="n">
        <v>19644</v>
      </c>
      <c r="J38" s="0" t="n">
        <v>32.3</v>
      </c>
      <c r="K38" s="0" t="n">
        <v>19</v>
      </c>
      <c r="L38" s="0" t="n">
        <v>498</v>
      </c>
      <c r="M38" s="0" t="s">
        <v>20</v>
      </c>
      <c r="N38" s="0" t="s">
        <v>74</v>
      </c>
    </row>
    <row r="39" customFormat="false" ht="15" hidden="false" customHeight="false" outlineLevel="0" collapsed="false">
      <c r="A39" s="0" t="s">
        <v>206</v>
      </c>
      <c r="B39" s="0" t="s">
        <v>207</v>
      </c>
      <c r="C39" s="0" t="s">
        <v>208</v>
      </c>
      <c r="D39" s="0" t="s">
        <v>78</v>
      </c>
      <c r="E39" s="0" t="s">
        <v>80</v>
      </c>
      <c r="F39" s="0" t="s">
        <v>209</v>
      </c>
      <c r="G39" s="0" t="n">
        <v>3106381</v>
      </c>
      <c r="H39" s="0" t="n">
        <v>114116</v>
      </c>
      <c r="I39" s="0" t="n">
        <v>32794</v>
      </c>
      <c r="J39" s="0" t="n">
        <v>18.9</v>
      </c>
      <c r="K39" s="0" t="n">
        <v>24</v>
      </c>
      <c r="L39" s="0" t="n">
        <v>577</v>
      </c>
      <c r="M39" s="0" t="s">
        <v>54</v>
      </c>
      <c r="N39" s="0" t="s">
        <v>169</v>
      </c>
    </row>
    <row r="40" customFormat="false" ht="15" hidden="false" customHeight="false" outlineLevel="0" collapsed="false">
      <c r="A40" s="0" t="s">
        <v>210</v>
      </c>
      <c r="B40" s="0" t="s">
        <v>211</v>
      </c>
      <c r="C40" s="0" t="s">
        <v>212</v>
      </c>
      <c r="D40" s="0" t="s">
        <v>59</v>
      </c>
      <c r="E40" s="0" t="s">
        <v>213</v>
      </c>
      <c r="F40" s="0" t="s">
        <v>214</v>
      </c>
      <c r="G40" s="0" t="n">
        <v>2177351</v>
      </c>
      <c r="H40" s="0" t="n">
        <v>90763</v>
      </c>
      <c r="I40" s="0" t="n">
        <v>34787</v>
      </c>
      <c r="J40" s="0" t="n">
        <v>28.8</v>
      </c>
      <c r="K40" s="0" t="n">
        <v>5</v>
      </c>
      <c r="L40" s="0" t="n">
        <v>683</v>
      </c>
      <c r="M40" s="0" t="s">
        <v>20</v>
      </c>
      <c r="N40" s="0" t="s">
        <v>81</v>
      </c>
    </row>
    <row r="41" customFormat="false" ht="15" hidden="false" customHeight="false" outlineLevel="0" collapsed="false">
      <c r="A41" s="0" t="s">
        <v>215</v>
      </c>
      <c r="B41" s="0" t="s">
        <v>216</v>
      </c>
      <c r="C41" s="0" t="s">
        <v>217</v>
      </c>
      <c r="D41" s="0" t="s">
        <v>78</v>
      </c>
      <c r="E41" s="0" t="s">
        <v>47</v>
      </c>
      <c r="F41" s="0" t="s">
        <v>48</v>
      </c>
      <c r="G41" s="0" t="n">
        <v>2809742</v>
      </c>
      <c r="H41" s="0" t="n">
        <v>117540</v>
      </c>
      <c r="I41" s="0" t="n">
        <v>23652</v>
      </c>
      <c r="J41" s="0" t="n">
        <v>26.1</v>
      </c>
      <c r="K41" s="0" t="n">
        <v>13</v>
      </c>
      <c r="L41" s="0" t="n">
        <v>651</v>
      </c>
      <c r="M41" s="0" t="s">
        <v>20</v>
      </c>
      <c r="N41" s="0" t="s">
        <v>42</v>
      </c>
    </row>
    <row r="42" customFormat="false" ht="15" hidden="false" customHeight="false" outlineLevel="0" collapsed="false">
      <c r="A42" s="0" t="s">
        <v>218</v>
      </c>
      <c r="B42" s="0" t="s">
        <v>219</v>
      </c>
      <c r="C42" s="0" t="s">
        <v>192</v>
      </c>
      <c r="D42" s="0" t="s">
        <v>46</v>
      </c>
      <c r="E42" s="0" t="s">
        <v>220</v>
      </c>
      <c r="F42" s="0" t="s">
        <v>72</v>
      </c>
      <c r="G42" s="0" t="n">
        <v>2591404</v>
      </c>
      <c r="H42" s="0" t="n">
        <v>67138</v>
      </c>
      <c r="I42" s="0" t="n">
        <v>21979</v>
      </c>
      <c r="J42" s="0" t="n">
        <v>40.1</v>
      </c>
      <c r="K42" s="0" t="n">
        <v>5</v>
      </c>
      <c r="L42" s="0" t="n">
        <v>678</v>
      </c>
      <c r="M42" s="0" t="s">
        <v>20</v>
      </c>
      <c r="N42" s="0" t="s">
        <v>140</v>
      </c>
    </row>
    <row r="43" customFormat="false" ht="15" hidden="false" customHeight="false" outlineLevel="0" collapsed="false">
      <c r="A43" s="0" t="s">
        <v>221</v>
      </c>
      <c r="B43" s="0" t="s">
        <v>222</v>
      </c>
      <c r="C43" s="0" t="s">
        <v>223</v>
      </c>
      <c r="D43" s="0" t="s">
        <v>17</v>
      </c>
      <c r="E43" s="0" t="s">
        <v>224</v>
      </c>
      <c r="F43" s="0" t="s">
        <v>85</v>
      </c>
      <c r="G43" s="0" t="n">
        <v>2168541</v>
      </c>
      <c r="H43" s="0" t="n">
        <v>54938</v>
      </c>
      <c r="I43" s="0" t="n">
        <v>17333</v>
      </c>
      <c r="J43" s="0" t="n">
        <v>35.7</v>
      </c>
      <c r="K43" s="0" t="n">
        <v>21</v>
      </c>
      <c r="L43" s="0" t="n">
        <v>498</v>
      </c>
      <c r="M43" s="0" t="s">
        <v>20</v>
      </c>
      <c r="N43" s="0" t="s">
        <v>28</v>
      </c>
    </row>
    <row r="44" customFormat="false" ht="15" hidden="false" customHeight="false" outlineLevel="0" collapsed="false">
      <c r="A44" s="0" t="s">
        <v>225</v>
      </c>
      <c r="B44" s="0" t="s">
        <v>226</v>
      </c>
      <c r="C44" s="0" t="s">
        <v>24</v>
      </c>
      <c r="D44" s="0" t="s">
        <v>144</v>
      </c>
      <c r="E44" s="0" t="s">
        <v>224</v>
      </c>
      <c r="F44" s="0" t="s">
        <v>168</v>
      </c>
      <c r="G44" s="0" t="n">
        <v>1734299</v>
      </c>
      <c r="H44" s="0" t="n">
        <v>39489</v>
      </c>
      <c r="I44" s="0" t="n">
        <v>10774</v>
      </c>
      <c r="J44" s="0" t="n">
        <v>50.9</v>
      </c>
      <c r="K44" s="0" t="n">
        <v>16</v>
      </c>
      <c r="L44" s="0" t="n">
        <v>762</v>
      </c>
      <c r="M44" s="0" t="s">
        <v>20</v>
      </c>
      <c r="N44" s="0" t="s">
        <v>140</v>
      </c>
    </row>
    <row r="45" customFormat="false" ht="15" hidden="false" customHeight="false" outlineLevel="0" collapsed="false">
      <c r="A45" s="0" t="s">
        <v>227</v>
      </c>
      <c r="B45" s="0" t="s">
        <v>228</v>
      </c>
      <c r="C45" s="0" t="s">
        <v>172</v>
      </c>
      <c r="D45" s="0" t="s">
        <v>25</v>
      </c>
      <c r="E45" s="0" t="s">
        <v>229</v>
      </c>
      <c r="F45" s="0" t="s">
        <v>164</v>
      </c>
      <c r="G45" s="0" t="n">
        <v>3640942</v>
      </c>
      <c r="H45" s="0" t="n">
        <v>94181</v>
      </c>
      <c r="I45" s="0" t="n">
        <v>32896</v>
      </c>
      <c r="J45" s="0" t="n">
        <v>53.9</v>
      </c>
      <c r="K45" s="0" t="n">
        <v>17</v>
      </c>
      <c r="L45" s="0" t="n">
        <v>633</v>
      </c>
      <c r="M45" s="0" t="s">
        <v>20</v>
      </c>
      <c r="N45" s="0" t="s">
        <v>21</v>
      </c>
    </row>
    <row r="46" customFormat="false" ht="15" hidden="false" customHeight="false" outlineLevel="0" collapsed="false">
      <c r="A46" s="0" t="s">
        <v>230</v>
      </c>
      <c r="B46" s="0" t="s">
        <v>231</v>
      </c>
      <c r="C46" s="0" t="s">
        <v>232</v>
      </c>
      <c r="D46" s="0" t="s">
        <v>59</v>
      </c>
      <c r="E46" s="0" t="s">
        <v>85</v>
      </c>
      <c r="F46" s="0" t="s">
        <v>233</v>
      </c>
      <c r="G46" s="0" t="n">
        <v>3783920</v>
      </c>
      <c r="H46" s="0" t="n">
        <v>141927</v>
      </c>
      <c r="I46" s="0" t="n">
        <v>48258</v>
      </c>
      <c r="J46" s="0" t="n">
        <v>57.3</v>
      </c>
      <c r="K46" s="0" t="n">
        <v>21</v>
      </c>
      <c r="L46" s="0" t="n">
        <v>349</v>
      </c>
      <c r="M46" s="0" t="s">
        <v>54</v>
      </c>
      <c r="N46" s="0" t="s">
        <v>140</v>
      </c>
    </row>
    <row r="47" customFormat="false" ht="15" hidden="false" customHeight="false" outlineLevel="0" collapsed="false">
      <c r="A47" s="0" t="s">
        <v>234</v>
      </c>
      <c r="B47" s="0" t="s">
        <v>235</v>
      </c>
      <c r="C47" s="0" t="s">
        <v>236</v>
      </c>
      <c r="D47" s="0" t="s">
        <v>78</v>
      </c>
      <c r="E47" s="0" t="s">
        <v>237</v>
      </c>
      <c r="F47" s="0" t="s">
        <v>238</v>
      </c>
      <c r="G47" s="0" t="n">
        <v>3897052</v>
      </c>
      <c r="H47" s="0" t="n">
        <v>148656</v>
      </c>
      <c r="I47" s="0" t="n">
        <v>46417</v>
      </c>
      <c r="J47" s="0" t="n">
        <v>47.5</v>
      </c>
      <c r="K47" s="0" t="n">
        <v>15</v>
      </c>
      <c r="L47" s="0" t="n">
        <v>625</v>
      </c>
      <c r="M47" s="0" t="s">
        <v>20</v>
      </c>
      <c r="N47" s="0" t="s">
        <v>81</v>
      </c>
    </row>
    <row r="48" customFormat="false" ht="15" hidden="false" customHeight="false" outlineLevel="0" collapsed="false">
      <c r="A48" s="0" t="s">
        <v>239</v>
      </c>
      <c r="B48" s="0" t="s">
        <v>240</v>
      </c>
      <c r="C48" s="0" t="s">
        <v>152</v>
      </c>
      <c r="D48" s="0" t="s">
        <v>32</v>
      </c>
      <c r="E48" s="0" t="s">
        <v>53</v>
      </c>
      <c r="F48" s="0" t="s">
        <v>241</v>
      </c>
      <c r="G48" s="0" t="n">
        <v>2551843</v>
      </c>
      <c r="H48" s="0" t="n">
        <v>83864</v>
      </c>
      <c r="I48" s="0" t="n">
        <v>24536</v>
      </c>
      <c r="J48" s="0" t="n">
        <v>58.7</v>
      </c>
      <c r="K48" s="0" t="n">
        <v>17</v>
      </c>
      <c r="L48" s="0" t="n">
        <v>271</v>
      </c>
      <c r="M48" s="0" t="s">
        <v>54</v>
      </c>
      <c r="N48" s="0" t="s">
        <v>21</v>
      </c>
    </row>
    <row r="49" customFormat="false" ht="15" hidden="false" customHeight="false" outlineLevel="0" collapsed="false">
      <c r="A49" s="0" t="s">
        <v>242</v>
      </c>
      <c r="B49" s="0" t="s">
        <v>243</v>
      </c>
      <c r="C49" s="0" t="s">
        <v>114</v>
      </c>
      <c r="D49" s="0" t="s">
        <v>78</v>
      </c>
      <c r="E49" s="0" t="s">
        <v>244</v>
      </c>
      <c r="F49" s="0" t="s">
        <v>85</v>
      </c>
      <c r="G49" s="0" t="n">
        <v>3167178</v>
      </c>
      <c r="H49" s="0" t="n">
        <v>92984</v>
      </c>
      <c r="I49" s="0" t="n">
        <v>26021</v>
      </c>
      <c r="J49" s="0" t="n">
        <v>25.2</v>
      </c>
      <c r="K49" s="0" t="n">
        <v>6</v>
      </c>
      <c r="L49" s="0" t="n">
        <v>714</v>
      </c>
      <c r="M49" s="0" t="s">
        <v>20</v>
      </c>
      <c r="N49" s="0" t="s">
        <v>74</v>
      </c>
    </row>
    <row r="50" customFormat="false" ht="15" hidden="false" customHeight="false" outlineLevel="0" collapsed="false">
      <c r="A50" s="0" t="s">
        <v>245</v>
      </c>
      <c r="B50" s="0" t="s">
        <v>246</v>
      </c>
      <c r="C50" s="0" t="s">
        <v>247</v>
      </c>
      <c r="D50" s="0" t="s">
        <v>89</v>
      </c>
      <c r="E50" s="0" t="s">
        <v>116</v>
      </c>
      <c r="F50" s="0" t="s">
        <v>248</v>
      </c>
      <c r="G50" s="0" t="n">
        <v>2016603</v>
      </c>
      <c r="H50" s="0" t="n">
        <v>63983</v>
      </c>
      <c r="I50" s="0" t="n">
        <v>14303</v>
      </c>
      <c r="J50" s="0" t="n">
        <v>13.2</v>
      </c>
      <c r="K50" s="0" t="n">
        <v>13</v>
      </c>
      <c r="L50" s="0" t="n">
        <v>303</v>
      </c>
      <c r="M50" s="0" t="s">
        <v>20</v>
      </c>
      <c r="N50" s="0" t="s">
        <v>55</v>
      </c>
    </row>
    <row r="51" customFormat="false" ht="15" hidden="false" customHeight="false" outlineLevel="0" collapsed="false">
      <c r="A51" s="0" t="s">
        <v>249</v>
      </c>
      <c r="B51" s="0" t="s">
        <v>250</v>
      </c>
      <c r="C51" s="0" t="s">
        <v>251</v>
      </c>
      <c r="D51" s="0" t="s">
        <v>39</v>
      </c>
      <c r="E51" s="0" t="s">
        <v>252</v>
      </c>
      <c r="F51" s="0" t="s">
        <v>253</v>
      </c>
      <c r="G51" s="0" t="n">
        <v>3370758</v>
      </c>
      <c r="H51" s="0" t="n">
        <v>119794</v>
      </c>
      <c r="I51" s="0" t="n">
        <v>49292</v>
      </c>
      <c r="J51" s="0" t="n">
        <v>31.3</v>
      </c>
      <c r="K51" s="0" t="n">
        <v>13</v>
      </c>
      <c r="L51" s="0" t="n">
        <v>418</v>
      </c>
      <c r="M51" s="0" t="s">
        <v>20</v>
      </c>
      <c r="N51" s="0" t="s">
        <v>81</v>
      </c>
    </row>
    <row r="52" customFormat="false" ht="15" hidden="false" customHeight="false" outlineLevel="0" collapsed="false">
      <c r="A52" s="0" t="s">
        <v>254</v>
      </c>
      <c r="B52" s="0" t="s">
        <v>255</v>
      </c>
      <c r="C52" s="0" t="s">
        <v>256</v>
      </c>
      <c r="D52" s="0" t="s">
        <v>89</v>
      </c>
      <c r="E52" s="0" t="s">
        <v>257</v>
      </c>
      <c r="F52" s="0" t="s">
        <v>229</v>
      </c>
      <c r="G52" s="0" t="n">
        <v>1803209</v>
      </c>
      <c r="H52" s="0" t="n">
        <v>44308</v>
      </c>
      <c r="I52" s="0" t="n">
        <v>14437</v>
      </c>
      <c r="J52" s="0" t="n">
        <v>35.3</v>
      </c>
      <c r="K52" s="0" t="n">
        <v>24</v>
      </c>
      <c r="L52" s="0" t="n">
        <v>587</v>
      </c>
      <c r="M52" s="0" t="s">
        <v>54</v>
      </c>
      <c r="N52" s="0" t="s">
        <v>96</v>
      </c>
    </row>
    <row r="53" customFormat="false" ht="15" hidden="false" customHeight="false" outlineLevel="0" collapsed="false">
      <c r="A53" s="0" t="s">
        <v>258</v>
      </c>
      <c r="B53" s="0" t="s">
        <v>259</v>
      </c>
      <c r="C53" s="0" t="s">
        <v>232</v>
      </c>
      <c r="D53" s="0" t="s">
        <v>89</v>
      </c>
      <c r="E53" s="0" t="s">
        <v>110</v>
      </c>
      <c r="F53" s="0" t="s">
        <v>111</v>
      </c>
      <c r="G53" s="0" t="n">
        <v>1855941</v>
      </c>
      <c r="H53" s="0" t="n">
        <v>44236</v>
      </c>
      <c r="I53" s="0" t="n">
        <v>11164</v>
      </c>
      <c r="J53" s="0" t="n">
        <v>13</v>
      </c>
      <c r="K53" s="0" t="n">
        <v>14</v>
      </c>
      <c r="L53" s="0" t="n">
        <v>564</v>
      </c>
      <c r="M53" s="0" t="s">
        <v>20</v>
      </c>
      <c r="N53" s="0" t="s">
        <v>28</v>
      </c>
    </row>
    <row r="54" customFormat="false" ht="15" hidden="false" customHeight="false" outlineLevel="0" collapsed="false">
      <c r="A54" s="0" t="s">
        <v>260</v>
      </c>
      <c r="B54" s="0" t="s">
        <v>261</v>
      </c>
      <c r="C54" s="0" t="s">
        <v>88</v>
      </c>
      <c r="D54" s="0" t="s">
        <v>71</v>
      </c>
      <c r="E54" s="0" t="s">
        <v>262</v>
      </c>
      <c r="F54" s="0" t="s">
        <v>220</v>
      </c>
      <c r="G54" s="0" t="n">
        <v>1028323</v>
      </c>
      <c r="H54" s="0" t="n">
        <v>24002</v>
      </c>
      <c r="I54" s="0" t="n">
        <v>8215</v>
      </c>
      <c r="J54" s="0" t="n">
        <v>59.6</v>
      </c>
      <c r="K54" s="0" t="n">
        <v>22</v>
      </c>
      <c r="L54" s="0" t="n">
        <v>678</v>
      </c>
      <c r="M54" s="0" t="s">
        <v>20</v>
      </c>
      <c r="N54" s="0" t="s">
        <v>169</v>
      </c>
    </row>
    <row r="55" customFormat="false" ht="15" hidden="false" customHeight="false" outlineLevel="0" collapsed="false">
      <c r="A55" s="0" t="s">
        <v>263</v>
      </c>
      <c r="B55" s="0" t="s">
        <v>264</v>
      </c>
      <c r="C55" s="0" t="s">
        <v>137</v>
      </c>
      <c r="D55" s="0" t="s">
        <v>78</v>
      </c>
      <c r="E55" s="0" t="s">
        <v>265</v>
      </c>
      <c r="F55" s="0" t="s">
        <v>266</v>
      </c>
      <c r="G55" s="0" t="n">
        <v>3349286</v>
      </c>
      <c r="H55" s="0" t="n">
        <v>126126</v>
      </c>
      <c r="I55" s="0" t="n">
        <v>35738</v>
      </c>
      <c r="J55" s="0" t="n">
        <v>48</v>
      </c>
      <c r="K55" s="0" t="n">
        <v>10</v>
      </c>
      <c r="L55" s="0" t="n">
        <v>769</v>
      </c>
      <c r="M55" s="0" t="s">
        <v>20</v>
      </c>
      <c r="N55" s="0" t="s">
        <v>140</v>
      </c>
    </row>
    <row r="56" customFormat="false" ht="15" hidden="false" customHeight="false" outlineLevel="0" collapsed="false">
      <c r="A56" s="0" t="s">
        <v>267</v>
      </c>
      <c r="B56" s="0" t="s">
        <v>268</v>
      </c>
      <c r="C56" s="0" t="s">
        <v>93</v>
      </c>
      <c r="D56" s="0" t="s">
        <v>25</v>
      </c>
      <c r="E56" s="0" t="s">
        <v>269</v>
      </c>
      <c r="F56" s="0" t="s">
        <v>270</v>
      </c>
      <c r="G56" s="0" t="n">
        <v>2070831</v>
      </c>
      <c r="H56" s="0" t="n">
        <v>69064</v>
      </c>
      <c r="I56" s="0" t="n">
        <v>15163</v>
      </c>
      <c r="J56" s="0" t="n">
        <v>13</v>
      </c>
      <c r="K56" s="0" t="n">
        <v>16</v>
      </c>
      <c r="L56" s="0" t="n">
        <v>409</v>
      </c>
      <c r="M56" s="0" t="s">
        <v>20</v>
      </c>
      <c r="N56" s="0" t="s">
        <v>81</v>
      </c>
    </row>
    <row r="57" customFormat="false" ht="15" hidden="false" customHeight="false" outlineLevel="0" collapsed="false">
      <c r="A57" s="0" t="s">
        <v>271</v>
      </c>
      <c r="B57" s="0" t="s">
        <v>272</v>
      </c>
      <c r="C57" s="0" t="s">
        <v>70</v>
      </c>
      <c r="D57" s="0" t="s">
        <v>46</v>
      </c>
      <c r="E57" s="0" t="s">
        <v>273</v>
      </c>
      <c r="F57" s="0" t="s">
        <v>100</v>
      </c>
      <c r="G57" s="0" t="n">
        <v>2022051</v>
      </c>
      <c r="H57" s="0" t="n">
        <v>55275</v>
      </c>
      <c r="I57" s="0" t="n">
        <v>11835</v>
      </c>
      <c r="J57" s="0" t="n">
        <v>33.9</v>
      </c>
      <c r="K57" s="0" t="n">
        <v>6</v>
      </c>
      <c r="L57" s="0" t="n">
        <v>326</v>
      </c>
      <c r="M57" s="0" t="s">
        <v>54</v>
      </c>
      <c r="N57" s="0" t="s">
        <v>67</v>
      </c>
    </row>
    <row r="58" customFormat="false" ht="15" hidden="false" customHeight="false" outlineLevel="0" collapsed="false">
      <c r="A58" s="0" t="s">
        <v>274</v>
      </c>
      <c r="B58" s="0" t="s">
        <v>275</v>
      </c>
      <c r="C58" s="0" t="s">
        <v>276</v>
      </c>
      <c r="D58" s="0" t="s">
        <v>89</v>
      </c>
      <c r="E58" s="0" t="s">
        <v>27</v>
      </c>
      <c r="F58" s="0" t="s">
        <v>149</v>
      </c>
      <c r="G58" s="0" t="n">
        <v>1246491</v>
      </c>
      <c r="H58" s="0" t="n">
        <v>37458</v>
      </c>
      <c r="I58" s="0" t="n">
        <v>11982</v>
      </c>
      <c r="J58" s="0" t="n">
        <v>38.3</v>
      </c>
      <c r="K58" s="0" t="n">
        <v>18</v>
      </c>
      <c r="L58" s="0" t="n">
        <v>790</v>
      </c>
      <c r="M58" s="0" t="s">
        <v>20</v>
      </c>
      <c r="N58" s="0" t="s">
        <v>67</v>
      </c>
    </row>
    <row r="59" customFormat="false" ht="15" hidden="false" customHeight="false" outlineLevel="0" collapsed="false">
      <c r="A59" s="0" t="s">
        <v>277</v>
      </c>
      <c r="B59" s="0" t="s">
        <v>278</v>
      </c>
      <c r="C59" s="0" t="s">
        <v>167</v>
      </c>
      <c r="D59" s="0" t="s">
        <v>39</v>
      </c>
      <c r="E59" s="0" t="s">
        <v>279</v>
      </c>
      <c r="F59" s="0" t="s">
        <v>280</v>
      </c>
      <c r="G59" s="0" t="n">
        <v>2908553</v>
      </c>
      <c r="H59" s="0" t="n">
        <v>124504</v>
      </c>
      <c r="I59" s="0" t="n">
        <v>28306</v>
      </c>
      <c r="J59" s="0" t="n">
        <v>39</v>
      </c>
      <c r="K59" s="0" t="n">
        <v>9</v>
      </c>
      <c r="L59" s="0" t="n">
        <v>359</v>
      </c>
      <c r="M59" s="0" t="s">
        <v>20</v>
      </c>
      <c r="N59" s="0" t="s">
        <v>67</v>
      </c>
    </row>
    <row r="60" customFormat="false" ht="15" hidden="false" customHeight="false" outlineLevel="0" collapsed="false">
      <c r="A60" s="0" t="s">
        <v>281</v>
      </c>
      <c r="B60" s="0" t="s">
        <v>282</v>
      </c>
      <c r="C60" s="0" t="s">
        <v>283</v>
      </c>
      <c r="D60" s="0" t="s">
        <v>109</v>
      </c>
      <c r="E60" s="0" t="s">
        <v>154</v>
      </c>
      <c r="F60" s="0" t="s">
        <v>284</v>
      </c>
      <c r="G60" s="0" t="n">
        <v>1775690</v>
      </c>
      <c r="H60" s="0" t="n">
        <v>57927</v>
      </c>
      <c r="I60" s="0" t="n">
        <v>13912</v>
      </c>
      <c r="J60" s="0" t="n">
        <v>34.8</v>
      </c>
      <c r="K60" s="0" t="n">
        <v>11</v>
      </c>
      <c r="L60" s="0" t="n">
        <v>351</v>
      </c>
      <c r="M60" s="0" t="s">
        <v>20</v>
      </c>
      <c r="N60" s="0" t="s">
        <v>21</v>
      </c>
    </row>
    <row r="61" customFormat="false" ht="15" hidden="false" customHeight="false" outlineLevel="0" collapsed="false">
      <c r="A61" s="0" t="s">
        <v>285</v>
      </c>
      <c r="B61" s="0" t="s">
        <v>286</v>
      </c>
      <c r="C61" s="0" t="s">
        <v>287</v>
      </c>
      <c r="D61" s="0" t="s">
        <v>89</v>
      </c>
      <c r="E61" s="0" t="s">
        <v>288</v>
      </c>
      <c r="F61" s="0" t="s">
        <v>289</v>
      </c>
      <c r="G61" s="0" t="n">
        <v>1059148</v>
      </c>
      <c r="H61" s="0" t="n">
        <v>27348</v>
      </c>
      <c r="I61" s="0" t="n">
        <v>7492</v>
      </c>
      <c r="J61" s="0" t="n">
        <v>49.6</v>
      </c>
      <c r="K61" s="0" t="n">
        <v>23</v>
      </c>
      <c r="L61" s="0" t="n">
        <v>421</v>
      </c>
      <c r="M61" s="0" t="s">
        <v>20</v>
      </c>
      <c r="N61" s="0" t="s">
        <v>28</v>
      </c>
    </row>
    <row r="62" customFormat="false" ht="15" hidden="false" customHeight="false" outlineLevel="0" collapsed="false">
      <c r="A62" s="0" t="s">
        <v>290</v>
      </c>
      <c r="B62" s="0" t="s">
        <v>291</v>
      </c>
      <c r="C62" s="0" t="s">
        <v>236</v>
      </c>
      <c r="D62" s="0" t="s">
        <v>78</v>
      </c>
      <c r="E62" s="0" t="s">
        <v>292</v>
      </c>
      <c r="F62" s="0" t="s">
        <v>193</v>
      </c>
      <c r="G62" s="0" t="n">
        <v>3709004</v>
      </c>
      <c r="H62" s="0" t="n">
        <v>135612</v>
      </c>
      <c r="I62" s="0" t="n">
        <v>36048</v>
      </c>
      <c r="J62" s="0" t="n">
        <v>25.6</v>
      </c>
      <c r="K62" s="0" t="n">
        <v>10</v>
      </c>
      <c r="L62" s="0" t="n">
        <v>793</v>
      </c>
      <c r="M62" s="0" t="s">
        <v>20</v>
      </c>
      <c r="N62" s="0" t="s">
        <v>21</v>
      </c>
    </row>
    <row r="63" customFormat="false" ht="15" hidden="false" customHeight="false" outlineLevel="0" collapsed="false">
      <c r="A63" s="0" t="s">
        <v>293</v>
      </c>
      <c r="B63" s="0" t="s">
        <v>294</v>
      </c>
      <c r="C63" s="0" t="s">
        <v>295</v>
      </c>
      <c r="D63" s="0" t="s">
        <v>144</v>
      </c>
      <c r="E63" s="0" t="s">
        <v>257</v>
      </c>
      <c r="F63" s="0" t="s">
        <v>158</v>
      </c>
      <c r="G63" s="0" t="n">
        <v>1635448</v>
      </c>
      <c r="H63" s="0" t="n">
        <v>36527</v>
      </c>
      <c r="I63" s="0" t="n">
        <v>8348</v>
      </c>
      <c r="J63" s="0" t="n">
        <v>42.6</v>
      </c>
      <c r="K63" s="0" t="n">
        <v>15</v>
      </c>
      <c r="L63" s="0" t="n">
        <v>773</v>
      </c>
      <c r="M63" s="0" t="s">
        <v>20</v>
      </c>
      <c r="N63" s="0" t="s">
        <v>169</v>
      </c>
    </row>
    <row r="64" customFormat="false" ht="15" hidden="false" customHeight="false" outlineLevel="0" collapsed="false">
      <c r="A64" s="0" t="s">
        <v>296</v>
      </c>
      <c r="B64" s="0" t="s">
        <v>297</v>
      </c>
      <c r="C64" s="0" t="s">
        <v>298</v>
      </c>
      <c r="D64" s="0" t="s">
        <v>71</v>
      </c>
      <c r="E64" s="0" t="s">
        <v>101</v>
      </c>
      <c r="F64" s="0" t="s">
        <v>299</v>
      </c>
      <c r="G64" s="0" t="n">
        <v>1839527</v>
      </c>
      <c r="H64" s="0" t="n">
        <v>49196</v>
      </c>
      <c r="I64" s="0" t="n">
        <v>12270</v>
      </c>
      <c r="J64" s="0" t="n">
        <v>44.9</v>
      </c>
      <c r="K64" s="0" t="n">
        <v>22</v>
      </c>
      <c r="L64" s="0" t="n">
        <v>278</v>
      </c>
      <c r="M64" s="0" t="s">
        <v>20</v>
      </c>
      <c r="N64" s="0" t="s">
        <v>81</v>
      </c>
    </row>
    <row r="65" customFormat="false" ht="15" hidden="false" customHeight="false" outlineLevel="0" collapsed="false">
      <c r="A65" s="0" t="s">
        <v>300</v>
      </c>
      <c r="B65" s="0" t="s">
        <v>104</v>
      </c>
      <c r="C65" s="0" t="s">
        <v>301</v>
      </c>
      <c r="D65" s="0" t="s">
        <v>89</v>
      </c>
      <c r="E65" s="0" t="s">
        <v>302</v>
      </c>
      <c r="F65" s="0" t="s">
        <v>47</v>
      </c>
      <c r="G65" s="0" t="n">
        <v>1715248</v>
      </c>
      <c r="H65" s="0" t="n">
        <v>37250</v>
      </c>
      <c r="I65" s="0" t="n">
        <v>14107</v>
      </c>
      <c r="J65" s="0" t="n">
        <v>24.1</v>
      </c>
      <c r="K65" s="0" t="n">
        <v>22</v>
      </c>
      <c r="L65" s="0" t="n">
        <v>470</v>
      </c>
      <c r="M65" s="0" t="s">
        <v>35</v>
      </c>
      <c r="N65" s="0" t="s">
        <v>96</v>
      </c>
    </row>
    <row r="66" customFormat="false" ht="15" hidden="false" customHeight="false" outlineLevel="0" collapsed="false">
      <c r="A66" s="0" t="s">
        <v>303</v>
      </c>
      <c r="B66" s="0" t="s">
        <v>304</v>
      </c>
      <c r="C66" s="0" t="s">
        <v>99</v>
      </c>
      <c r="D66" s="0" t="s">
        <v>71</v>
      </c>
      <c r="E66" s="0" t="s">
        <v>305</v>
      </c>
      <c r="F66" s="0" t="s">
        <v>306</v>
      </c>
      <c r="G66" s="0" t="n">
        <v>1451476</v>
      </c>
      <c r="H66" s="0" t="n">
        <v>37739</v>
      </c>
      <c r="I66" s="0" t="n">
        <v>9169</v>
      </c>
      <c r="J66" s="0" t="n">
        <v>22</v>
      </c>
      <c r="K66" s="0" t="n">
        <v>15</v>
      </c>
      <c r="L66" s="0" t="n">
        <v>475</v>
      </c>
      <c r="M66" s="0" t="s">
        <v>20</v>
      </c>
      <c r="N66" s="0" t="s">
        <v>42</v>
      </c>
    </row>
    <row r="67" customFormat="false" ht="15" hidden="false" customHeight="false" outlineLevel="0" collapsed="false">
      <c r="A67" s="0" t="s">
        <v>307</v>
      </c>
      <c r="B67" s="0" t="s">
        <v>308</v>
      </c>
      <c r="C67" s="0" t="s">
        <v>309</v>
      </c>
      <c r="D67" s="0" t="s">
        <v>65</v>
      </c>
      <c r="E67" s="0" t="s">
        <v>33</v>
      </c>
      <c r="F67" s="0" t="s">
        <v>310</v>
      </c>
      <c r="G67" s="0" t="n">
        <v>1290529</v>
      </c>
      <c r="H67" s="0" t="n">
        <v>35997</v>
      </c>
      <c r="I67" s="0" t="n">
        <v>11332</v>
      </c>
      <c r="J67" s="0" t="n">
        <v>46.1</v>
      </c>
      <c r="K67" s="0" t="n">
        <v>25</v>
      </c>
      <c r="L67" s="0" t="n">
        <v>331</v>
      </c>
      <c r="M67" s="0" t="s">
        <v>20</v>
      </c>
      <c r="N67" s="0" t="s">
        <v>96</v>
      </c>
    </row>
    <row r="68" customFormat="false" ht="15" hidden="false" customHeight="false" outlineLevel="0" collapsed="false">
      <c r="A68" s="0" t="s">
        <v>311</v>
      </c>
      <c r="B68" s="0" t="s">
        <v>312</v>
      </c>
      <c r="C68" s="0" t="s">
        <v>313</v>
      </c>
      <c r="D68" s="0" t="s">
        <v>59</v>
      </c>
      <c r="E68" s="0" t="s">
        <v>177</v>
      </c>
      <c r="F68" s="0" t="s">
        <v>314</v>
      </c>
      <c r="G68" s="0" t="n">
        <v>2793578</v>
      </c>
      <c r="H68" s="0" t="n">
        <v>111828</v>
      </c>
      <c r="I68" s="0" t="n">
        <v>34839</v>
      </c>
      <c r="J68" s="0" t="n">
        <v>42.8</v>
      </c>
      <c r="K68" s="0" t="n">
        <v>19</v>
      </c>
      <c r="L68" s="0" t="n">
        <v>604</v>
      </c>
      <c r="M68" s="0" t="s">
        <v>54</v>
      </c>
      <c r="N68" s="0" t="s">
        <v>122</v>
      </c>
    </row>
    <row r="69" customFormat="false" ht="15" hidden="false" customHeight="false" outlineLevel="0" collapsed="false">
      <c r="A69" s="0" t="s">
        <v>315</v>
      </c>
      <c r="B69" s="0" t="s">
        <v>316</v>
      </c>
      <c r="C69" s="0" t="s">
        <v>317</v>
      </c>
      <c r="D69" s="0" t="s">
        <v>78</v>
      </c>
      <c r="E69" s="0" t="s">
        <v>299</v>
      </c>
      <c r="F69" s="0" t="s">
        <v>66</v>
      </c>
      <c r="G69" s="0" t="n">
        <v>3463094</v>
      </c>
      <c r="H69" s="0" t="n">
        <v>123933</v>
      </c>
      <c r="I69" s="0" t="n">
        <v>33032</v>
      </c>
      <c r="J69" s="0" t="n">
        <v>22.4</v>
      </c>
      <c r="K69" s="0" t="n">
        <v>17</v>
      </c>
      <c r="L69" s="0" t="n">
        <v>570</v>
      </c>
      <c r="M69" s="0" t="s">
        <v>20</v>
      </c>
      <c r="N69" s="0" t="s">
        <v>140</v>
      </c>
    </row>
    <row r="70" customFormat="false" ht="15" hidden="false" customHeight="false" outlineLevel="0" collapsed="false">
      <c r="A70" s="0" t="s">
        <v>318</v>
      </c>
      <c r="B70" s="0" t="s">
        <v>319</v>
      </c>
      <c r="C70" s="0" t="s">
        <v>320</v>
      </c>
      <c r="D70" s="0" t="s">
        <v>65</v>
      </c>
      <c r="E70" s="0" t="s">
        <v>321</v>
      </c>
      <c r="F70" s="0" t="s">
        <v>233</v>
      </c>
      <c r="G70" s="0" t="n">
        <v>2340566</v>
      </c>
      <c r="H70" s="0" t="n">
        <v>74919</v>
      </c>
      <c r="I70" s="0" t="n">
        <v>22133</v>
      </c>
      <c r="J70" s="0" t="n">
        <v>18.7</v>
      </c>
      <c r="K70" s="0" t="n">
        <v>24</v>
      </c>
      <c r="L70" s="0" t="n">
        <v>522</v>
      </c>
      <c r="M70" s="0" t="s">
        <v>20</v>
      </c>
      <c r="N70" s="0" t="s">
        <v>122</v>
      </c>
    </row>
    <row r="71" customFormat="false" ht="15" hidden="false" customHeight="false" outlineLevel="0" collapsed="false">
      <c r="A71" s="0" t="s">
        <v>322</v>
      </c>
      <c r="B71" s="0" t="s">
        <v>323</v>
      </c>
      <c r="C71" s="0" t="s">
        <v>324</v>
      </c>
      <c r="D71" s="0" t="s">
        <v>46</v>
      </c>
      <c r="E71" s="0" t="s">
        <v>241</v>
      </c>
      <c r="F71" s="0" t="s">
        <v>94</v>
      </c>
      <c r="G71" s="0" t="n">
        <v>2093663</v>
      </c>
      <c r="H71" s="0" t="n">
        <v>63173</v>
      </c>
      <c r="I71" s="0" t="n">
        <v>22280</v>
      </c>
      <c r="J71" s="0" t="n">
        <v>41.9</v>
      </c>
      <c r="K71" s="0" t="n">
        <v>21</v>
      </c>
      <c r="L71" s="0" t="n">
        <v>262</v>
      </c>
      <c r="M71" s="0" t="s">
        <v>54</v>
      </c>
      <c r="N71" s="0" t="s">
        <v>28</v>
      </c>
    </row>
    <row r="72" customFormat="false" ht="15" hidden="false" customHeight="false" outlineLevel="0" collapsed="false">
      <c r="A72" s="0" t="s">
        <v>325</v>
      </c>
      <c r="B72" s="0" t="s">
        <v>326</v>
      </c>
      <c r="C72" s="0" t="s">
        <v>327</v>
      </c>
      <c r="D72" s="0" t="s">
        <v>65</v>
      </c>
      <c r="E72" s="0" t="s">
        <v>139</v>
      </c>
      <c r="F72" s="0" t="s">
        <v>182</v>
      </c>
      <c r="G72" s="0" t="n">
        <v>1896025</v>
      </c>
      <c r="H72" s="0" t="n">
        <v>62349</v>
      </c>
      <c r="I72" s="0" t="n">
        <v>21084</v>
      </c>
      <c r="J72" s="0" t="n">
        <v>14.6</v>
      </c>
      <c r="K72" s="0" t="n">
        <v>20</v>
      </c>
      <c r="L72" s="0" t="n">
        <v>616</v>
      </c>
      <c r="M72" s="0" t="s">
        <v>35</v>
      </c>
      <c r="N72" s="0" t="s">
        <v>28</v>
      </c>
    </row>
    <row r="73" customFormat="false" ht="15" hidden="false" customHeight="false" outlineLevel="0" collapsed="false">
      <c r="A73" s="0" t="s">
        <v>328</v>
      </c>
      <c r="B73" s="0" t="s">
        <v>219</v>
      </c>
      <c r="C73" s="0" t="s">
        <v>16</v>
      </c>
      <c r="D73" s="0" t="s">
        <v>46</v>
      </c>
      <c r="E73" s="0" t="s">
        <v>138</v>
      </c>
      <c r="F73" s="0" t="s">
        <v>329</v>
      </c>
      <c r="G73" s="0" t="n">
        <v>2785050</v>
      </c>
      <c r="H73" s="0" t="n">
        <v>84461</v>
      </c>
      <c r="I73" s="0" t="n">
        <v>21047</v>
      </c>
      <c r="J73" s="0" t="n">
        <v>36.4</v>
      </c>
      <c r="K73" s="0" t="n">
        <v>8</v>
      </c>
      <c r="L73" s="0" t="n">
        <v>210</v>
      </c>
      <c r="M73" s="0" t="s">
        <v>20</v>
      </c>
      <c r="N73" s="0" t="s">
        <v>28</v>
      </c>
    </row>
    <row r="74" customFormat="false" ht="15" hidden="false" customHeight="false" outlineLevel="0" collapsed="false">
      <c r="A74" s="0" t="s">
        <v>330</v>
      </c>
      <c r="B74" s="0" t="s">
        <v>331</v>
      </c>
      <c r="C74" s="0" t="s">
        <v>332</v>
      </c>
      <c r="D74" s="0" t="s">
        <v>109</v>
      </c>
      <c r="E74" s="0" t="s">
        <v>252</v>
      </c>
      <c r="F74" s="0" t="s">
        <v>253</v>
      </c>
      <c r="G74" s="0" t="n">
        <v>2040590</v>
      </c>
      <c r="H74" s="0" t="n">
        <v>81424</v>
      </c>
      <c r="I74" s="0" t="n">
        <v>19934</v>
      </c>
      <c r="J74" s="0" t="n">
        <v>39.9</v>
      </c>
      <c r="K74" s="0" t="n">
        <v>18</v>
      </c>
      <c r="L74" s="0" t="n">
        <v>633</v>
      </c>
      <c r="M74" s="0" t="s">
        <v>54</v>
      </c>
      <c r="N74" s="0" t="s">
        <v>102</v>
      </c>
    </row>
    <row r="75" customFormat="false" ht="15" hidden="false" customHeight="false" outlineLevel="0" collapsed="false">
      <c r="A75" s="0" t="s">
        <v>333</v>
      </c>
      <c r="B75" s="0" t="s">
        <v>334</v>
      </c>
      <c r="C75" s="0" t="s">
        <v>327</v>
      </c>
      <c r="D75" s="0" t="s">
        <v>65</v>
      </c>
      <c r="E75" s="0" t="s">
        <v>335</v>
      </c>
      <c r="F75" s="0" t="s">
        <v>305</v>
      </c>
      <c r="G75" s="0" t="n">
        <v>2031771</v>
      </c>
      <c r="H75" s="0" t="n">
        <v>79477</v>
      </c>
      <c r="I75" s="0" t="n">
        <v>20894</v>
      </c>
      <c r="J75" s="0" t="n">
        <v>4.6</v>
      </c>
      <c r="K75" s="0" t="n">
        <v>12</v>
      </c>
      <c r="L75" s="0" t="n">
        <v>417</v>
      </c>
      <c r="M75" s="0" t="s">
        <v>20</v>
      </c>
      <c r="N75" s="0" t="s">
        <v>102</v>
      </c>
    </row>
    <row r="76" customFormat="false" ht="15" hidden="false" customHeight="false" outlineLevel="0" collapsed="false">
      <c r="A76" s="0" t="s">
        <v>336</v>
      </c>
      <c r="B76" s="0" t="s">
        <v>337</v>
      </c>
      <c r="C76" s="0" t="s">
        <v>338</v>
      </c>
      <c r="D76" s="0" t="s">
        <v>78</v>
      </c>
      <c r="E76" s="0" t="s">
        <v>339</v>
      </c>
      <c r="F76" s="0" t="s">
        <v>340</v>
      </c>
      <c r="G76" s="0" t="n">
        <v>3381210</v>
      </c>
      <c r="H76" s="0" t="n">
        <v>95455</v>
      </c>
      <c r="I76" s="0" t="n">
        <v>25739</v>
      </c>
      <c r="J76" s="0" t="n">
        <v>9.6</v>
      </c>
      <c r="K76" s="0" t="n">
        <v>24</v>
      </c>
      <c r="L76" s="0" t="n">
        <v>469</v>
      </c>
      <c r="M76" s="0" t="s">
        <v>20</v>
      </c>
      <c r="N76" s="0" t="s">
        <v>67</v>
      </c>
    </row>
    <row r="77" customFormat="false" ht="15" hidden="false" customHeight="false" outlineLevel="0" collapsed="false">
      <c r="A77" s="0" t="s">
        <v>341</v>
      </c>
      <c r="B77" s="0" t="s">
        <v>342</v>
      </c>
      <c r="C77" s="0" t="s">
        <v>105</v>
      </c>
      <c r="D77" s="0" t="s">
        <v>25</v>
      </c>
      <c r="E77" s="0" t="s">
        <v>299</v>
      </c>
      <c r="F77" s="0" t="s">
        <v>186</v>
      </c>
      <c r="G77" s="0" t="n">
        <v>2311769</v>
      </c>
      <c r="H77" s="0" t="n">
        <v>76032</v>
      </c>
      <c r="I77" s="0" t="n">
        <v>22017</v>
      </c>
      <c r="J77" s="0" t="n">
        <v>10.1</v>
      </c>
      <c r="K77" s="0" t="n">
        <v>10</v>
      </c>
      <c r="L77" s="0" t="n">
        <v>769</v>
      </c>
      <c r="M77" s="0" t="s">
        <v>35</v>
      </c>
      <c r="N77" s="0" t="s">
        <v>81</v>
      </c>
    </row>
    <row r="78" customFormat="false" ht="15" hidden="false" customHeight="false" outlineLevel="0" collapsed="false">
      <c r="A78" s="0" t="s">
        <v>343</v>
      </c>
      <c r="B78" s="0" t="s">
        <v>344</v>
      </c>
      <c r="C78" s="0" t="s">
        <v>345</v>
      </c>
      <c r="D78" s="0" t="s">
        <v>46</v>
      </c>
      <c r="E78" s="0" t="s">
        <v>346</v>
      </c>
      <c r="F78" s="0" t="s">
        <v>347</v>
      </c>
      <c r="G78" s="0" t="n">
        <v>2257605</v>
      </c>
      <c r="H78" s="0" t="n">
        <v>64966</v>
      </c>
      <c r="I78" s="0" t="n">
        <v>24836</v>
      </c>
      <c r="J78" s="0" t="n">
        <v>51.1</v>
      </c>
      <c r="K78" s="0" t="n">
        <v>6</v>
      </c>
      <c r="L78" s="0" t="n">
        <v>220</v>
      </c>
      <c r="M78" s="0" t="s">
        <v>54</v>
      </c>
      <c r="N78" s="0" t="s">
        <v>55</v>
      </c>
    </row>
    <row r="79" customFormat="false" ht="15" hidden="false" customHeight="false" outlineLevel="0" collapsed="false">
      <c r="A79" s="0" t="s">
        <v>348</v>
      </c>
      <c r="B79" s="0" t="s">
        <v>349</v>
      </c>
      <c r="C79" s="0" t="s">
        <v>350</v>
      </c>
      <c r="D79" s="0" t="s">
        <v>46</v>
      </c>
      <c r="E79" s="0" t="s">
        <v>26</v>
      </c>
      <c r="F79" s="0" t="s">
        <v>27</v>
      </c>
      <c r="G79" s="0" t="n">
        <v>2838910</v>
      </c>
      <c r="H79" s="0" t="n">
        <v>99218</v>
      </c>
      <c r="I79" s="0" t="n">
        <v>27636</v>
      </c>
      <c r="J79" s="0" t="n">
        <v>30.2</v>
      </c>
      <c r="K79" s="0" t="n">
        <v>7</v>
      </c>
      <c r="L79" s="0" t="n">
        <v>551</v>
      </c>
      <c r="M79" s="0" t="s">
        <v>20</v>
      </c>
      <c r="N79" s="0" t="s">
        <v>169</v>
      </c>
    </row>
    <row r="80" customFormat="false" ht="15" hidden="false" customHeight="false" outlineLevel="0" collapsed="false">
      <c r="A80" s="0" t="s">
        <v>351</v>
      </c>
      <c r="B80" s="0" t="s">
        <v>352</v>
      </c>
      <c r="C80" s="0" t="s">
        <v>217</v>
      </c>
      <c r="D80" s="0" t="s">
        <v>109</v>
      </c>
      <c r="E80" s="0" t="s">
        <v>18</v>
      </c>
      <c r="F80" s="0" t="s">
        <v>353</v>
      </c>
      <c r="G80" s="0" t="n">
        <v>2124269</v>
      </c>
      <c r="H80" s="0" t="n">
        <v>61907</v>
      </c>
      <c r="I80" s="0" t="n">
        <v>13337</v>
      </c>
      <c r="J80" s="0" t="n">
        <v>37.2</v>
      </c>
      <c r="K80" s="0" t="n">
        <v>6</v>
      </c>
      <c r="L80" s="0" t="n">
        <v>491</v>
      </c>
      <c r="M80" s="0" t="s">
        <v>20</v>
      </c>
      <c r="N80" s="0" t="s">
        <v>42</v>
      </c>
    </row>
    <row r="81" customFormat="false" ht="15" hidden="false" customHeight="false" outlineLevel="0" collapsed="false">
      <c r="A81" s="0" t="s">
        <v>354</v>
      </c>
      <c r="B81" s="0" t="s">
        <v>355</v>
      </c>
      <c r="C81" s="0" t="s">
        <v>356</v>
      </c>
      <c r="D81" s="0" t="s">
        <v>25</v>
      </c>
      <c r="E81" s="0" t="s">
        <v>241</v>
      </c>
      <c r="F81" s="0" t="s">
        <v>357</v>
      </c>
      <c r="G81" s="0" t="n">
        <v>4131149</v>
      </c>
      <c r="H81" s="0" t="n">
        <v>169490</v>
      </c>
      <c r="I81" s="0" t="n">
        <v>39385</v>
      </c>
      <c r="J81" s="0" t="n">
        <v>26.4</v>
      </c>
      <c r="K81" s="0" t="n">
        <v>18</v>
      </c>
      <c r="L81" s="0" t="n">
        <v>494</v>
      </c>
      <c r="M81" s="0" t="s">
        <v>20</v>
      </c>
      <c r="N81" s="0" t="s">
        <v>96</v>
      </c>
    </row>
    <row r="82" customFormat="false" ht="15" hidden="false" customHeight="false" outlineLevel="0" collapsed="false">
      <c r="A82" s="0" t="s">
        <v>358</v>
      </c>
      <c r="B82" s="0" t="s">
        <v>359</v>
      </c>
      <c r="C82" s="0" t="s">
        <v>360</v>
      </c>
      <c r="D82" s="0" t="s">
        <v>25</v>
      </c>
      <c r="E82" s="0" t="s">
        <v>241</v>
      </c>
      <c r="F82" s="0" t="s">
        <v>94</v>
      </c>
      <c r="G82" s="0" t="n">
        <v>3221647</v>
      </c>
      <c r="H82" s="0" t="n">
        <v>101642</v>
      </c>
      <c r="I82" s="0" t="n">
        <v>22033</v>
      </c>
      <c r="J82" s="0" t="n">
        <v>9.3</v>
      </c>
      <c r="K82" s="0" t="n">
        <v>21</v>
      </c>
      <c r="L82" s="0" t="n">
        <v>276</v>
      </c>
      <c r="M82" s="0" t="s">
        <v>35</v>
      </c>
      <c r="N82" s="0" t="s">
        <v>122</v>
      </c>
    </row>
    <row r="83" customFormat="false" ht="15" hidden="false" customHeight="false" outlineLevel="0" collapsed="false">
      <c r="A83" s="0" t="s">
        <v>361</v>
      </c>
      <c r="B83" s="0" t="s">
        <v>195</v>
      </c>
      <c r="C83" s="0" t="s">
        <v>362</v>
      </c>
      <c r="D83" s="0" t="s">
        <v>78</v>
      </c>
      <c r="E83" s="0" t="s">
        <v>61</v>
      </c>
      <c r="F83" s="0" t="s">
        <v>353</v>
      </c>
      <c r="G83" s="0" t="n">
        <v>2700489</v>
      </c>
      <c r="H83" s="0" t="n">
        <v>91980</v>
      </c>
      <c r="I83" s="0" t="n">
        <v>27351</v>
      </c>
      <c r="J83" s="0" t="n">
        <v>41.2</v>
      </c>
      <c r="K83" s="0" t="n">
        <v>21</v>
      </c>
      <c r="L83" s="0" t="n">
        <v>396</v>
      </c>
      <c r="M83" s="0" t="s">
        <v>35</v>
      </c>
      <c r="N83" s="0" t="s">
        <v>21</v>
      </c>
    </row>
    <row r="84" customFormat="false" ht="15" hidden="false" customHeight="false" outlineLevel="0" collapsed="false">
      <c r="A84" s="0" t="s">
        <v>363</v>
      </c>
      <c r="B84" s="0" t="s">
        <v>364</v>
      </c>
      <c r="C84" s="0" t="s">
        <v>232</v>
      </c>
      <c r="D84" s="0" t="s">
        <v>89</v>
      </c>
      <c r="E84" s="0" t="s">
        <v>130</v>
      </c>
      <c r="F84" s="0" t="s">
        <v>213</v>
      </c>
      <c r="G84" s="0" t="n">
        <v>1451155</v>
      </c>
      <c r="H84" s="0" t="n">
        <v>37208</v>
      </c>
      <c r="I84" s="0" t="n">
        <v>14056</v>
      </c>
      <c r="J84" s="0" t="n">
        <v>42</v>
      </c>
      <c r="K84" s="0" t="n">
        <v>6</v>
      </c>
      <c r="L84" s="0" t="n">
        <v>664</v>
      </c>
      <c r="M84" s="0" t="s">
        <v>54</v>
      </c>
      <c r="N84" s="0" t="s">
        <v>122</v>
      </c>
    </row>
    <row r="85" customFormat="false" ht="15" hidden="false" customHeight="false" outlineLevel="0" collapsed="false">
      <c r="A85" s="0" t="s">
        <v>365</v>
      </c>
      <c r="B85" s="0" t="s">
        <v>366</v>
      </c>
      <c r="C85" s="0" t="s">
        <v>367</v>
      </c>
      <c r="D85" s="0" t="s">
        <v>78</v>
      </c>
      <c r="E85" s="0" t="s">
        <v>154</v>
      </c>
      <c r="F85" s="0" t="s">
        <v>368</v>
      </c>
      <c r="G85" s="0" t="n">
        <v>5441497</v>
      </c>
      <c r="H85" s="0" t="n">
        <v>185985</v>
      </c>
      <c r="I85" s="0" t="n">
        <v>75447</v>
      </c>
      <c r="J85" s="0" t="n">
        <v>21.3</v>
      </c>
      <c r="K85" s="0" t="n">
        <v>24</v>
      </c>
      <c r="L85" s="0" t="n">
        <v>640</v>
      </c>
      <c r="M85" s="0" t="s">
        <v>20</v>
      </c>
      <c r="N85" s="0" t="s">
        <v>102</v>
      </c>
    </row>
    <row r="86" customFormat="false" ht="15" hidden="false" customHeight="false" outlineLevel="0" collapsed="false">
      <c r="A86" s="0" t="s">
        <v>369</v>
      </c>
      <c r="B86" s="0" t="s">
        <v>370</v>
      </c>
      <c r="C86" s="0" t="s">
        <v>371</v>
      </c>
      <c r="D86" s="0" t="s">
        <v>39</v>
      </c>
      <c r="E86" s="0" t="s">
        <v>372</v>
      </c>
      <c r="F86" s="0" t="s">
        <v>34</v>
      </c>
      <c r="G86" s="0" t="n">
        <v>2816384</v>
      </c>
      <c r="H86" s="0" t="n">
        <v>132035</v>
      </c>
      <c r="I86" s="0" t="n">
        <v>40583</v>
      </c>
      <c r="J86" s="0" t="n">
        <v>47.2</v>
      </c>
      <c r="K86" s="0" t="n">
        <v>22</v>
      </c>
      <c r="L86" s="0" t="n">
        <v>337</v>
      </c>
      <c r="M86" s="0" t="s">
        <v>35</v>
      </c>
      <c r="N86" s="0" t="s">
        <v>122</v>
      </c>
    </row>
    <row r="87" customFormat="false" ht="15" hidden="false" customHeight="false" outlineLevel="0" collapsed="false">
      <c r="A87" s="0" t="s">
        <v>373</v>
      </c>
      <c r="B87" s="0" t="s">
        <v>374</v>
      </c>
      <c r="C87" s="0" t="s">
        <v>375</v>
      </c>
      <c r="D87" s="0" t="s">
        <v>39</v>
      </c>
      <c r="E87" s="0" t="s">
        <v>347</v>
      </c>
      <c r="F87" s="0" t="s">
        <v>205</v>
      </c>
      <c r="G87" s="0" t="n">
        <v>3532002</v>
      </c>
      <c r="H87" s="0" t="n">
        <v>181137</v>
      </c>
      <c r="I87" s="0" t="n">
        <v>44001</v>
      </c>
      <c r="J87" s="0" t="n">
        <v>4.3</v>
      </c>
      <c r="K87" s="0" t="n">
        <v>25</v>
      </c>
      <c r="L87" s="0" t="n">
        <v>538</v>
      </c>
      <c r="M87" s="0" t="s">
        <v>20</v>
      </c>
      <c r="N87" s="0" t="s">
        <v>81</v>
      </c>
    </row>
    <row r="88" customFormat="false" ht="15" hidden="false" customHeight="false" outlineLevel="0" collapsed="false">
      <c r="A88" s="0" t="s">
        <v>376</v>
      </c>
      <c r="B88" s="0" t="s">
        <v>377</v>
      </c>
      <c r="C88" s="0" t="s">
        <v>378</v>
      </c>
      <c r="D88" s="0" t="s">
        <v>89</v>
      </c>
      <c r="E88" s="0" t="s">
        <v>379</v>
      </c>
      <c r="F88" s="0" t="s">
        <v>380</v>
      </c>
      <c r="G88" s="0" t="n">
        <v>1866376</v>
      </c>
      <c r="H88" s="0" t="n">
        <v>48159</v>
      </c>
      <c r="I88" s="0" t="n">
        <v>15557</v>
      </c>
      <c r="J88" s="0" t="n">
        <v>33.2</v>
      </c>
      <c r="K88" s="0" t="n">
        <v>18</v>
      </c>
      <c r="L88" s="0" t="n">
        <v>384</v>
      </c>
      <c r="M88" s="0" t="s">
        <v>20</v>
      </c>
      <c r="N88" s="0" t="s">
        <v>67</v>
      </c>
    </row>
    <row r="89" customFormat="false" ht="15" hidden="false" customHeight="false" outlineLevel="0" collapsed="false">
      <c r="A89" s="0" t="s">
        <v>381</v>
      </c>
      <c r="B89" s="0" t="s">
        <v>382</v>
      </c>
      <c r="C89" s="0" t="s">
        <v>24</v>
      </c>
      <c r="D89" s="0" t="s">
        <v>89</v>
      </c>
      <c r="E89" s="0" t="s">
        <v>40</v>
      </c>
      <c r="F89" s="0" t="s">
        <v>379</v>
      </c>
      <c r="G89" s="0" t="n">
        <v>1928357</v>
      </c>
      <c r="H89" s="0" t="n">
        <v>49735</v>
      </c>
      <c r="I89" s="0" t="n">
        <v>16167</v>
      </c>
      <c r="J89" s="0" t="n">
        <v>54.3</v>
      </c>
      <c r="K89" s="0" t="n">
        <v>17</v>
      </c>
      <c r="L89" s="0" t="n">
        <v>195</v>
      </c>
      <c r="M89" s="0" t="s">
        <v>20</v>
      </c>
      <c r="N89" s="0" t="s">
        <v>122</v>
      </c>
    </row>
    <row r="90" customFormat="false" ht="15" hidden="false" customHeight="false" outlineLevel="0" collapsed="false">
      <c r="A90" s="0" t="s">
        <v>383</v>
      </c>
      <c r="B90" s="0" t="s">
        <v>384</v>
      </c>
      <c r="C90" s="0" t="s">
        <v>385</v>
      </c>
      <c r="D90" s="0" t="s">
        <v>59</v>
      </c>
      <c r="E90" s="0" t="s">
        <v>125</v>
      </c>
      <c r="F90" s="0" t="s">
        <v>292</v>
      </c>
      <c r="G90" s="0" t="n">
        <v>3561644</v>
      </c>
      <c r="H90" s="0" t="n">
        <v>158449</v>
      </c>
      <c r="I90" s="0" t="n">
        <v>44621</v>
      </c>
      <c r="J90" s="0" t="n">
        <v>51.5</v>
      </c>
      <c r="K90" s="0" t="n">
        <v>9</v>
      </c>
      <c r="L90" s="0" t="n">
        <v>530</v>
      </c>
      <c r="M90" s="0" t="s">
        <v>35</v>
      </c>
      <c r="N90" s="0" t="s">
        <v>122</v>
      </c>
    </row>
    <row r="91" customFormat="false" ht="15" hidden="false" customHeight="false" outlineLevel="0" collapsed="false">
      <c r="A91" s="0" t="s">
        <v>386</v>
      </c>
      <c r="B91" s="0" t="s">
        <v>387</v>
      </c>
      <c r="C91" s="0" t="s">
        <v>388</v>
      </c>
      <c r="D91" s="0" t="s">
        <v>89</v>
      </c>
      <c r="E91" s="0" t="s">
        <v>389</v>
      </c>
      <c r="F91" s="0" t="s">
        <v>390</v>
      </c>
      <c r="G91" s="0" t="n">
        <v>1976079</v>
      </c>
      <c r="H91" s="0" t="n">
        <v>61093</v>
      </c>
      <c r="I91" s="0" t="n">
        <v>16719</v>
      </c>
      <c r="J91" s="0" t="n">
        <v>30.5</v>
      </c>
      <c r="K91" s="0" t="n">
        <v>13</v>
      </c>
      <c r="L91" s="0" t="n">
        <v>495</v>
      </c>
      <c r="M91" s="0" t="s">
        <v>20</v>
      </c>
      <c r="N91" s="0" t="s">
        <v>74</v>
      </c>
    </row>
    <row r="92" customFormat="false" ht="15" hidden="false" customHeight="false" outlineLevel="0" collapsed="false">
      <c r="A92" s="0" t="s">
        <v>391</v>
      </c>
      <c r="B92" s="0" t="s">
        <v>174</v>
      </c>
      <c r="C92" s="0" t="s">
        <v>392</v>
      </c>
      <c r="D92" s="0" t="s">
        <v>71</v>
      </c>
      <c r="E92" s="0" t="s">
        <v>198</v>
      </c>
      <c r="F92" s="0" t="s">
        <v>393</v>
      </c>
      <c r="G92" s="0" t="n">
        <v>1616008</v>
      </c>
      <c r="H92" s="0" t="n">
        <v>45925</v>
      </c>
      <c r="I92" s="0" t="n">
        <v>11001</v>
      </c>
      <c r="J92" s="0" t="n">
        <v>36.7</v>
      </c>
      <c r="K92" s="0" t="n">
        <v>11</v>
      </c>
      <c r="L92" s="0" t="n">
        <v>539</v>
      </c>
      <c r="M92" s="0" t="s">
        <v>54</v>
      </c>
      <c r="N92" s="0" t="s">
        <v>169</v>
      </c>
    </row>
    <row r="93" customFormat="false" ht="15" hidden="false" customHeight="false" outlineLevel="0" collapsed="false">
      <c r="A93" s="0" t="s">
        <v>394</v>
      </c>
      <c r="B93" s="0" t="s">
        <v>395</v>
      </c>
      <c r="C93" s="0" t="s">
        <v>362</v>
      </c>
      <c r="D93" s="0" t="s">
        <v>71</v>
      </c>
      <c r="E93" s="0" t="s">
        <v>26</v>
      </c>
      <c r="F93" s="0" t="s">
        <v>292</v>
      </c>
      <c r="G93" s="0" t="n">
        <v>1325653</v>
      </c>
      <c r="H93" s="0" t="n">
        <v>37139</v>
      </c>
      <c r="I93" s="0" t="n">
        <v>8830</v>
      </c>
      <c r="J93" s="0" t="n">
        <v>13.4</v>
      </c>
      <c r="K93" s="0" t="n">
        <v>16</v>
      </c>
      <c r="L93" s="0" t="n">
        <v>504</v>
      </c>
      <c r="M93" s="0" t="s">
        <v>20</v>
      </c>
      <c r="N93" s="0" t="s">
        <v>28</v>
      </c>
    </row>
    <row r="94" customFormat="false" ht="15" hidden="false" customHeight="false" outlineLevel="0" collapsed="false">
      <c r="A94" s="0" t="s">
        <v>396</v>
      </c>
      <c r="B94" s="0" t="s">
        <v>397</v>
      </c>
      <c r="C94" s="0" t="s">
        <v>398</v>
      </c>
      <c r="D94" s="0" t="s">
        <v>65</v>
      </c>
      <c r="E94" s="0" t="s">
        <v>289</v>
      </c>
      <c r="F94" s="0" t="s">
        <v>115</v>
      </c>
      <c r="G94" s="0" t="n">
        <v>1783569</v>
      </c>
      <c r="H94" s="0" t="n">
        <v>58833</v>
      </c>
      <c r="I94" s="0" t="n">
        <v>13632</v>
      </c>
      <c r="J94" s="0" t="n">
        <v>59.8</v>
      </c>
      <c r="K94" s="0" t="n">
        <v>9</v>
      </c>
      <c r="L94" s="0" t="n">
        <v>190</v>
      </c>
      <c r="M94" s="0" t="s">
        <v>20</v>
      </c>
      <c r="N94" s="0" t="s">
        <v>169</v>
      </c>
    </row>
    <row r="95" customFormat="false" ht="15" hidden="false" customHeight="false" outlineLevel="0" collapsed="false">
      <c r="A95" s="0" t="s">
        <v>399</v>
      </c>
      <c r="B95" s="0" t="s">
        <v>400</v>
      </c>
      <c r="C95" s="0" t="s">
        <v>401</v>
      </c>
      <c r="D95" s="0" t="s">
        <v>109</v>
      </c>
      <c r="E95" s="0" t="s">
        <v>265</v>
      </c>
      <c r="F95" s="0" t="s">
        <v>266</v>
      </c>
      <c r="G95" s="0" t="n">
        <v>1664044</v>
      </c>
      <c r="H95" s="0" t="n">
        <v>52489</v>
      </c>
      <c r="I95" s="0" t="n">
        <v>11404</v>
      </c>
      <c r="J95" s="0" t="n">
        <v>53.8</v>
      </c>
      <c r="K95" s="0" t="n">
        <v>12</v>
      </c>
      <c r="L95" s="0" t="n">
        <v>670</v>
      </c>
      <c r="M95" s="0" t="s">
        <v>20</v>
      </c>
      <c r="N95" s="0" t="s">
        <v>21</v>
      </c>
    </row>
    <row r="96" customFormat="false" ht="15" hidden="false" customHeight="false" outlineLevel="0" collapsed="false">
      <c r="A96" s="0" t="s">
        <v>402</v>
      </c>
      <c r="B96" s="0" t="s">
        <v>403</v>
      </c>
      <c r="C96" s="0" t="s">
        <v>217</v>
      </c>
      <c r="D96" s="0" t="s">
        <v>59</v>
      </c>
      <c r="E96" s="0" t="s">
        <v>198</v>
      </c>
      <c r="F96" s="0" t="s">
        <v>257</v>
      </c>
      <c r="G96" s="0" t="n">
        <v>1782614</v>
      </c>
      <c r="H96" s="0" t="n">
        <v>87825</v>
      </c>
      <c r="I96" s="0" t="n">
        <v>21004</v>
      </c>
      <c r="J96" s="0" t="n">
        <v>41.8</v>
      </c>
      <c r="K96" s="0" t="n">
        <v>9</v>
      </c>
      <c r="L96" s="0" t="n">
        <v>388</v>
      </c>
      <c r="M96" s="0" t="s">
        <v>20</v>
      </c>
      <c r="N96" s="0" t="s">
        <v>81</v>
      </c>
    </row>
    <row r="97" customFormat="false" ht="15" hidden="false" customHeight="false" outlineLevel="0" collapsed="false">
      <c r="A97" s="0" t="s">
        <v>404</v>
      </c>
      <c r="B97" s="0" t="s">
        <v>405</v>
      </c>
      <c r="C97" s="0" t="s">
        <v>406</v>
      </c>
      <c r="D97" s="0" t="s">
        <v>89</v>
      </c>
      <c r="E97" s="0" t="s">
        <v>407</v>
      </c>
      <c r="F97" s="0" t="s">
        <v>314</v>
      </c>
      <c r="G97" s="0" t="n">
        <v>1993708</v>
      </c>
      <c r="H97" s="0" t="n">
        <v>43807</v>
      </c>
      <c r="I97" s="0" t="n">
        <v>12793</v>
      </c>
      <c r="J97" s="0" t="n">
        <v>41.5</v>
      </c>
      <c r="K97" s="0" t="n">
        <v>7</v>
      </c>
      <c r="L97" s="0" t="n">
        <v>281</v>
      </c>
      <c r="M97" s="0" t="s">
        <v>54</v>
      </c>
      <c r="N97" s="0" t="s">
        <v>81</v>
      </c>
    </row>
    <row r="98" customFormat="false" ht="15" hidden="false" customHeight="false" outlineLevel="0" collapsed="false">
      <c r="A98" s="0" t="s">
        <v>408</v>
      </c>
      <c r="B98" s="0" t="s">
        <v>409</v>
      </c>
      <c r="C98" s="0" t="s">
        <v>410</v>
      </c>
      <c r="D98" s="0" t="s">
        <v>17</v>
      </c>
      <c r="E98" s="0" t="s">
        <v>110</v>
      </c>
      <c r="F98" s="0" t="s">
        <v>134</v>
      </c>
      <c r="G98" s="0" t="n">
        <v>1493853</v>
      </c>
      <c r="H98" s="0" t="n">
        <v>36444</v>
      </c>
      <c r="I98" s="0" t="n">
        <v>11093</v>
      </c>
      <c r="J98" s="0" t="n">
        <v>7.1</v>
      </c>
      <c r="K98" s="0" t="n">
        <v>18</v>
      </c>
      <c r="L98" s="0" t="n">
        <v>603</v>
      </c>
      <c r="M98" s="0" t="s">
        <v>20</v>
      </c>
      <c r="N98" s="0" t="s">
        <v>169</v>
      </c>
    </row>
    <row r="99" customFormat="false" ht="15" hidden="false" customHeight="false" outlineLevel="0" collapsed="false">
      <c r="A99" s="0" t="s">
        <v>411</v>
      </c>
      <c r="B99" s="0" t="s">
        <v>412</v>
      </c>
      <c r="C99" s="0" t="s">
        <v>217</v>
      </c>
      <c r="D99" s="0" t="s">
        <v>144</v>
      </c>
      <c r="E99" s="0" t="s">
        <v>27</v>
      </c>
      <c r="F99" s="0" t="s">
        <v>149</v>
      </c>
      <c r="G99" s="0" t="n">
        <v>2264410</v>
      </c>
      <c r="H99" s="0" t="n">
        <v>51493</v>
      </c>
      <c r="I99" s="0" t="n">
        <v>17707</v>
      </c>
      <c r="J99" s="0" t="n">
        <v>49</v>
      </c>
      <c r="K99" s="0" t="n">
        <v>21</v>
      </c>
      <c r="L99" s="0" t="n">
        <v>150</v>
      </c>
      <c r="M99" s="0" t="s">
        <v>54</v>
      </c>
      <c r="N99" s="0" t="s">
        <v>122</v>
      </c>
    </row>
    <row r="100" customFormat="false" ht="15" hidden="false" customHeight="false" outlineLevel="0" collapsed="false">
      <c r="A100" s="0" t="s">
        <v>413</v>
      </c>
      <c r="B100" s="0" t="s">
        <v>414</v>
      </c>
      <c r="C100" s="0" t="s">
        <v>362</v>
      </c>
      <c r="D100" s="0" t="s">
        <v>109</v>
      </c>
      <c r="E100" s="0" t="s">
        <v>273</v>
      </c>
      <c r="F100" s="0" t="s">
        <v>101</v>
      </c>
      <c r="G100" s="0" t="n">
        <v>1798017</v>
      </c>
      <c r="H100" s="0" t="n">
        <v>58969</v>
      </c>
      <c r="I100" s="0" t="n">
        <v>19355</v>
      </c>
      <c r="J100" s="0" t="n">
        <v>51.1</v>
      </c>
      <c r="K100" s="0" t="n">
        <v>24</v>
      </c>
      <c r="L100" s="0" t="n">
        <v>255</v>
      </c>
      <c r="M100" s="0" t="s">
        <v>54</v>
      </c>
      <c r="N100" s="0" t="s">
        <v>122</v>
      </c>
    </row>
    <row r="101" customFormat="false" ht="15" hidden="false" customHeight="false" outlineLevel="0" collapsed="false">
      <c r="A101" s="0" t="s">
        <v>415</v>
      </c>
      <c r="B101" s="0" t="s">
        <v>416</v>
      </c>
      <c r="C101" s="0" t="s">
        <v>417</v>
      </c>
      <c r="D101" s="0" t="s">
        <v>89</v>
      </c>
      <c r="E101" s="0" t="s">
        <v>33</v>
      </c>
      <c r="F101" s="0" t="s">
        <v>418</v>
      </c>
      <c r="G101" s="0" t="n">
        <v>1366943</v>
      </c>
      <c r="H101" s="0" t="n">
        <v>36861</v>
      </c>
      <c r="I101" s="0" t="n">
        <v>9844</v>
      </c>
      <c r="J101" s="0" t="n">
        <v>8.9</v>
      </c>
      <c r="K101" s="0" t="n">
        <v>15</v>
      </c>
      <c r="L101" s="0" t="n">
        <v>323</v>
      </c>
      <c r="M101" s="0" t="s">
        <v>54</v>
      </c>
      <c r="N101" s="0" t="s">
        <v>55</v>
      </c>
    </row>
    <row r="102" customFormat="false" ht="15" hidden="false" customHeight="false" outlineLevel="0" collapsed="false">
      <c r="A102" s="0" t="s">
        <v>419</v>
      </c>
      <c r="B102" s="0" t="s">
        <v>420</v>
      </c>
      <c r="C102" s="0" t="s">
        <v>421</v>
      </c>
      <c r="D102" s="0" t="s">
        <v>46</v>
      </c>
      <c r="E102" s="0" t="s">
        <v>177</v>
      </c>
      <c r="F102" s="0" t="s">
        <v>422</v>
      </c>
      <c r="G102" s="0" t="n">
        <v>1748560</v>
      </c>
      <c r="H102" s="0" t="n">
        <v>45812</v>
      </c>
      <c r="I102" s="0" t="n">
        <v>14842</v>
      </c>
      <c r="J102" s="0" t="n">
        <v>57.5</v>
      </c>
      <c r="K102" s="0" t="n">
        <v>23</v>
      </c>
      <c r="L102" s="0" t="n">
        <v>622</v>
      </c>
      <c r="M102" s="0" t="s">
        <v>20</v>
      </c>
      <c r="N102" s="0" t="s">
        <v>55</v>
      </c>
    </row>
    <row r="103" customFormat="false" ht="15" hidden="false" customHeight="false" outlineLevel="0" collapsed="false">
      <c r="A103" s="0" t="s">
        <v>423</v>
      </c>
      <c r="B103" s="0" t="s">
        <v>424</v>
      </c>
      <c r="C103" s="0" t="s">
        <v>223</v>
      </c>
      <c r="D103" s="0" t="s">
        <v>39</v>
      </c>
      <c r="E103" s="0" t="s">
        <v>425</v>
      </c>
      <c r="F103" s="0" t="s">
        <v>379</v>
      </c>
      <c r="G103" s="0" t="n">
        <v>1915553</v>
      </c>
      <c r="H103" s="0" t="n">
        <v>69289</v>
      </c>
      <c r="I103" s="0" t="n">
        <v>17471</v>
      </c>
      <c r="J103" s="0" t="n">
        <v>11.5</v>
      </c>
      <c r="K103" s="0" t="n">
        <v>19</v>
      </c>
      <c r="L103" s="0" t="n">
        <v>746</v>
      </c>
      <c r="M103" s="0" t="s">
        <v>20</v>
      </c>
      <c r="N103" s="0" t="s">
        <v>140</v>
      </c>
    </row>
    <row r="104" customFormat="false" ht="15" hidden="false" customHeight="false" outlineLevel="0" collapsed="false">
      <c r="A104" s="0" t="s">
        <v>426</v>
      </c>
      <c r="B104" s="0" t="s">
        <v>250</v>
      </c>
      <c r="C104" s="0" t="s">
        <v>427</v>
      </c>
      <c r="D104" s="0" t="s">
        <v>39</v>
      </c>
      <c r="E104" s="0" t="s">
        <v>47</v>
      </c>
      <c r="F104" s="0" t="s">
        <v>379</v>
      </c>
      <c r="G104" s="0" t="n">
        <v>1457230</v>
      </c>
      <c r="H104" s="0" t="n">
        <v>57412</v>
      </c>
      <c r="I104" s="0" t="n">
        <v>17561</v>
      </c>
      <c r="J104" s="0" t="n">
        <v>4.5</v>
      </c>
      <c r="K104" s="0" t="n">
        <v>24</v>
      </c>
      <c r="L104" s="0" t="n">
        <v>456</v>
      </c>
      <c r="M104" s="0" t="s">
        <v>54</v>
      </c>
      <c r="N104" s="0" t="s">
        <v>21</v>
      </c>
    </row>
    <row r="105" customFormat="false" ht="15" hidden="false" customHeight="false" outlineLevel="0" collapsed="false">
      <c r="A105" s="0" t="s">
        <v>428</v>
      </c>
      <c r="B105" s="0" t="s">
        <v>429</v>
      </c>
      <c r="C105" s="0" t="s">
        <v>430</v>
      </c>
      <c r="D105" s="0" t="s">
        <v>71</v>
      </c>
      <c r="E105" s="0" t="s">
        <v>407</v>
      </c>
      <c r="F105" s="0" t="s">
        <v>116</v>
      </c>
      <c r="G105" s="0" t="n">
        <v>1081043</v>
      </c>
      <c r="H105" s="0" t="n">
        <v>21525</v>
      </c>
      <c r="I105" s="0" t="n">
        <v>7127</v>
      </c>
      <c r="J105" s="0" t="n">
        <v>25.8</v>
      </c>
      <c r="K105" s="0" t="n">
        <v>7</v>
      </c>
      <c r="L105" s="0" t="n">
        <v>347</v>
      </c>
      <c r="M105" s="0" t="s">
        <v>20</v>
      </c>
      <c r="N105" s="0" t="s">
        <v>74</v>
      </c>
    </row>
    <row r="106" customFormat="false" ht="15" hidden="false" customHeight="false" outlineLevel="0" collapsed="false">
      <c r="A106" s="0" t="s">
        <v>431</v>
      </c>
      <c r="B106" s="0" t="s">
        <v>432</v>
      </c>
      <c r="C106" s="0" t="s">
        <v>217</v>
      </c>
      <c r="D106" s="0" t="s">
        <v>17</v>
      </c>
      <c r="E106" s="0" t="s">
        <v>372</v>
      </c>
      <c r="F106" s="0" t="s">
        <v>48</v>
      </c>
      <c r="G106" s="0" t="n">
        <v>2884340</v>
      </c>
      <c r="H106" s="0" t="n">
        <v>65513</v>
      </c>
      <c r="I106" s="0" t="n">
        <v>20889</v>
      </c>
      <c r="J106" s="0" t="n">
        <v>53</v>
      </c>
      <c r="K106" s="0" t="n">
        <v>15</v>
      </c>
      <c r="L106" s="0" t="n">
        <v>510</v>
      </c>
      <c r="M106" s="0" t="s">
        <v>20</v>
      </c>
      <c r="N106" s="0" t="s">
        <v>21</v>
      </c>
    </row>
    <row r="107" customFormat="false" ht="15" hidden="false" customHeight="false" outlineLevel="0" collapsed="false">
      <c r="A107" s="0" t="s">
        <v>433</v>
      </c>
      <c r="B107" s="0" t="s">
        <v>434</v>
      </c>
      <c r="C107" s="0" t="s">
        <v>251</v>
      </c>
      <c r="D107" s="0" t="s">
        <v>32</v>
      </c>
      <c r="E107" s="0" t="s">
        <v>435</v>
      </c>
      <c r="F107" s="0" t="s">
        <v>158</v>
      </c>
      <c r="G107" s="0" t="n">
        <v>5027502</v>
      </c>
      <c r="H107" s="0" t="n">
        <v>212823</v>
      </c>
      <c r="I107" s="0" t="n">
        <v>53791</v>
      </c>
      <c r="J107" s="0" t="n">
        <v>47.1</v>
      </c>
      <c r="K107" s="0" t="n">
        <v>14</v>
      </c>
      <c r="L107" s="0" t="n">
        <v>665</v>
      </c>
      <c r="M107" s="0" t="s">
        <v>20</v>
      </c>
      <c r="N107" s="0" t="s">
        <v>28</v>
      </c>
    </row>
    <row r="108" customFormat="false" ht="15" hidden="false" customHeight="false" outlineLevel="0" collapsed="false">
      <c r="A108" s="0" t="s">
        <v>436</v>
      </c>
      <c r="B108" s="0" t="s">
        <v>437</v>
      </c>
      <c r="C108" s="0" t="s">
        <v>295</v>
      </c>
      <c r="D108" s="0" t="s">
        <v>39</v>
      </c>
      <c r="E108" s="0" t="s">
        <v>292</v>
      </c>
      <c r="F108" s="0" t="s">
        <v>214</v>
      </c>
      <c r="G108" s="0" t="n">
        <v>1544846</v>
      </c>
      <c r="H108" s="0" t="n">
        <v>59697</v>
      </c>
      <c r="I108" s="0" t="n">
        <v>14979</v>
      </c>
      <c r="J108" s="0" t="n">
        <v>57.4</v>
      </c>
      <c r="K108" s="0" t="n">
        <v>12</v>
      </c>
      <c r="L108" s="0" t="n">
        <v>466</v>
      </c>
      <c r="M108" s="0" t="s">
        <v>35</v>
      </c>
      <c r="N108" s="0" t="s">
        <v>122</v>
      </c>
    </row>
    <row r="109" customFormat="false" ht="15" hidden="false" customHeight="false" outlineLevel="0" collapsed="false">
      <c r="A109" s="0" t="s">
        <v>438</v>
      </c>
      <c r="B109" s="0" t="s">
        <v>439</v>
      </c>
      <c r="C109" s="0" t="s">
        <v>360</v>
      </c>
      <c r="D109" s="0" t="s">
        <v>144</v>
      </c>
      <c r="E109" s="0" t="s">
        <v>440</v>
      </c>
      <c r="F109" s="0" t="s">
        <v>159</v>
      </c>
      <c r="G109" s="0" t="n">
        <v>2196922</v>
      </c>
      <c r="H109" s="0" t="n">
        <v>66468</v>
      </c>
      <c r="I109" s="0" t="n">
        <v>14898</v>
      </c>
      <c r="J109" s="0" t="n">
        <v>50.9</v>
      </c>
      <c r="K109" s="0" t="n">
        <v>18</v>
      </c>
      <c r="L109" s="0" t="n">
        <v>604</v>
      </c>
      <c r="M109" s="0" t="s">
        <v>35</v>
      </c>
      <c r="N109" s="0" t="s">
        <v>67</v>
      </c>
    </row>
    <row r="110" customFormat="false" ht="15" hidden="false" customHeight="false" outlineLevel="0" collapsed="false">
      <c r="A110" s="0" t="s">
        <v>441</v>
      </c>
      <c r="B110" s="0" t="s">
        <v>442</v>
      </c>
      <c r="C110" s="0" t="s">
        <v>124</v>
      </c>
      <c r="D110" s="0" t="s">
        <v>59</v>
      </c>
      <c r="E110" s="0" t="s">
        <v>389</v>
      </c>
      <c r="F110" s="0" t="s">
        <v>390</v>
      </c>
      <c r="G110" s="0" t="n">
        <v>3293405</v>
      </c>
      <c r="H110" s="0" t="n">
        <v>128322</v>
      </c>
      <c r="I110" s="0" t="n">
        <v>27674</v>
      </c>
      <c r="J110" s="0" t="n">
        <v>46</v>
      </c>
      <c r="K110" s="0" t="n">
        <v>6</v>
      </c>
      <c r="L110" s="0" t="n">
        <v>622</v>
      </c>
      <c r="M110" s="0" t="s">
        <v>20</v>
      </c>
      <c r="N110" s="0" t="s">
        <v>55</v>
      </c>
    </row>
    <row r="111" customFormat="false" ht="15" hidden="false" customHeight="false" outlineLevel="0" collapsed="false">
      <c r="A111" s="0" t="s">
        <v>443</v>
      </c>
      <c r="B111" s="0" t="s">
        <v>444</v>
      </c>
      <c r="C111" s="0" t="s">
        <v>445</v>
      </c>
      <c r="D111" s="0" t="s">
        <v>109</v>
      </c>
      <c r="E111" s="0" t="s">
        <v>305</v>
      </c>
      <c r="F111" s="0" t="s">
        <v>197</v>
      </c>
      <c r="G111" s="0" t="n">
        <v>1970360</v>
      </c>
      <c r="H111" s="0" t="n">
        <v>64966</v>
      </c>
      <c r="I111" s="0" t="n">
        <v>22940</v>
      </c>
      <c r="J111" s="0" t="n">
        <v>9.9</v>
      </c>
      <c r="K111" s="0" t="n">
        <v>7</v>
      </c>
      <c r="L111" s="0" t="n">
        <v>473</v>
      </c>
      <c r="M111" s="0" t="s">
        <v>35</v>
      </c>
      <c r="N111" s="0" t="s">
        <v>102</v>
      </c>
    </row>
    <row r="112" customFormat="false" ht="15" hidden="false" customHeight="false" outlineLevel="0" collapsed="false">
      <c r="A112" s="0" t="s">
        <v>446</v>
      </c>
      <c r="B112" s="0" t="s">
        <v>447</v>
      </c>
      <c r="C112" s="0" t="s">
        <v>64</v>
      </c>
      <c r="D112" s="0" t="s">
        <v>65</v>
      </c>
      <c r="E112" s="0" t="s">
        <v>19</v>
      </c>
      <c r="F112" s="0" t="s">
        <v>61</v>
      </c>
      <c r="G112" s="0" t="n">
        <v>1671507</v>
      </c>
      <c r="H112" s="0" t="n">
        <v>51504</v>
      </c>
      <c r="I112" s="0" t="n">
        <v>15104</v>
      </c>
      <c r="J112" s="0" t="n">
        <v>25.2</v>
      </c>
      <c r="K112" s="0" t="n">
        <v>13</v>
      </c>
      <c r="L112" s="0" t="n">
        <v>777</v>
      </c>
      <c r="M112" s="0" t="s">
        <v>54</v>
      </c>
      <c r="N112" s="0" t="s">
        <v>169</v>
      </c>
    </row>
    <row r="113" customFormat="false" ht="15" hidden="false" customHeight="false" outlineLevel="0" collapsed="false">
      <c r="A113" s="0" t="s">
        <v>448</v>
      </c>
      <c r="B113" s="0" t="s">
        <v>161</v>
      </c>
      <c r="C113" s="0" t="s">
        <v>392</v>
      </c>
      <c r="D113" s="0" t="s">
        <v>59</v>
      </c>
      <c r="E113" s="0" t="s">
        <v>159</v>
      </c>
      <c r="F113" s="0" t="s">
        <v>244</v>
      </c>
      <c r="G113" s="0" t="n">
        <v>2898595</v>
      </c>
      <c r="H113" s="0" t="n">
        <v>120129</v>
      </c>
      <c r="I113" s="0" t="n">
        <v>40379</v>
      </c>
      <c r="J113" s="0" t="n">
        <v>31.5</v>
      </c>
      <c r="K113" s="0" t="n">
        <v>24</v>
      </c>
      <c r="L113" s="0" t="n">
        <v>665</v>
      </c>
      <c r="M113" s="0" t="s">
        <v>20</v>
      </c>
      <c r="N113" s="0" t="s">
        <v>55</v>
      </c>
    </row>
    <row r="114" customFormat="false" ht="15" hidden="false" customHeight="false" outlineLevel="0" collapsed="false">
      <c r="A114" s="0" t="s">
        <v>449</v>
      </c>
      <c r="B114" s="0" t="s">
        <v>450</v>
      </c>
      <c r="C114" s="0" t="s">
        <v>129</v>
      </c>
      <c r="D114" s="0" t="s">
        <v>17</v>
      </c>
      <c r="E114" s="0" t="s">
        <v>451</v>
      </c>
      <c r="F114" s="0" t="s">
        <v>229</v>
      </c>
      <c r="G114" s="0" t="n">
        <v>1713786</v>
      </c>
      <c r="H114" s="0" t="n">
        <v>41933</v>
      </c>
      <c r="I114" s="0" t="n">
        <v>11606</v>
      </c>
      <c r="J114" s="0" t="n">
        <v>8.6</v>
      </c>
      <c r="K114" s="0" t="n">
        <v>7</v>
      </c>
      <c r="L114" s="0" t="n">
        <v>726</v>
      </c>
      <c r="M114" s="0" t="s">
        <v>54</v>
      </c>
      <c r="N114" s="0" t="s">
        <v>169</v>
      </c>
    </row>
    <row r="115" customFormat="false" ht="15" hidden="false" customHeight="false" outlineLevel="0" collapsed="false">
      <c r="A115" s="0" t="s">
        <v>452</v>
      </c>
      <c r="B115" s="0" t="s">
        <v>453</v>
      </c>
      <c r="C115" s="0" t="s">
        <v>93</v>
      </c>
      <c r="D115" s="0" t="s">
        <v>32</v>
      </c>
      <c r="E115" s="0" t="s">
        <v>139</v>
      </c>
      <c r="F115" s="0" t="s">
        <v>181</v>
      </c>
      <c r="G115" s="0" t="n">
        <v>1897233</v>
      </c>
      <c r="H115" s="0" t="n">
        <v>51793</v>
      </c>
      <c r="I115" s="0" t="n">
        <v>20937</v>
      </c>
      <c r="J115" s="0" t="n">
        <v>36.5</v>
      </c>
      <c r="K115" s="0" t="n">
        <v>20</v>
      </c>
      <c r="L115" s="0" t="n">
        <v>557</v>
      </c>
      <c r="M115" s="0" t="s">
        <v>54</v>
      </c>
      <c r="N115" s="0" t="s">
        <v>140</v>
      </c>
    </row>
    <row r="116" customFormat="false" ht="15" hidden="false" customHeight="false" outlineLevel="0" collapsed="false">
      <c r="A116" s="0" t="s">
        <v>454</v>
      </c>
      <c r="B116" s="0" t="s">
        <v>455</v>
      </c>
      <c r="C116" s="0" t="s">
        <v>456</v>
      </c>
      <c r="D116" s="0" t="s">
        <v>46</v>
      </c>
      <c r="E116" s="0" t="s">
        <v>457</v>
      </c>
      <c r="F116" s="0" t="s">
        <v>253</v>
      </c>
      <c r="G116" s="0" t="n">
        <v>1956867</v>
      </c>
      <c r="H116" s="0" t="n">
        <v>58759</v>
      </c>
      <c r="I116" s="0" t="n">
        <v>17637</v>
      </c>
      <c r="J116" s="0" t="n">
        <v>14.3</v>
      </c>
      <c r="K116" s="0" t="n">
        <v>20</v>
      </c>
      <c r="L116" s="0" t="n">
        <v>396</v>
      </c>
      <c r="M116" s="0" t="s">
        <v>20</v>
      </c>
      <c r="N116" s="0" t="s">
        <v>169</v>
      </c>
    </row>
    <row r="117" customFormat="false" ht="15" hidden="false" customHeight="false" outlineLevel="0" collapsed="false">
      <c r="A117" s="0" t="s">
        <v>458</v>
      </c>
      <c r="B117" s="0" t="s">
        <v>459</v>
      </c>
      <c r="C117" s="0" t="s">
        <v>460</v>
      </c>
      <c r="D117" s="0" t="s">
        <v>59</v>
      </c>
      <c r="E117" s="0" t="s">
        <v>205</v>
      </c>
      <c r="F117" s="0" t="s">
        <v>265</v>
      </c>
      <c r="G117" s="0" t="n">
        <v>1830668</v>
      </c>
      <c r="H117" s="0" t="n">
        <v>87891</v>
      </c>
      <c r="I117" s="0" t="n">
        <v>26344</v>
      </c>
      <c r="J117" s="0" t="n">
        <v>50.4</v>
      </c>
      <c r="K117" s="0" t="n">
        <v>22</v>
      </c>
      <c r="L117" s="0" t="n">
        <v>419</v>
      </c>
      <c r="M117" s="0" t="s">
        <v>54</v>
      </c>
      <c r="N117" s="0" t="s">
        <v>42</v>
      </c>
    </row>
    <row r="118" customFormat="false" ht="15" hidden="false" customHeight="false" outlineLevel="0" collapsed="false">
      <c r="A118" s="0" t="s">
        <v>461</v>
      </c>
      <c r="B118" s="0" t="s">
        <v>462</v>
      </c>
      <c r="C118" s="0" t="s">
        <v>16</v>
      </c>
      <c r="D118" s="0" t="s">
        <v>46</v>
      </c>
      <c r="E118" s="0" t="s">
        <v>270</v>
      </c>
      <c r="F118" s="0" t="s">
        <v>94</v>
      </c>
      <c r="G118" s="0" t="n">
        <v>1875271</v>
      </c>
      <c r="H118" s="0" t="n">
        <v>51303</v>
      </c>
      <c r="I118" s="0" t="n">
        <v>10770</v>
      </c>
      <c r="J118" s="0" t="n">
        <v>57.4</v>
      </c>
      <c r="K118" s="0" t="n">
        <v>25</v>
      </c>
      <c r="L118" s="0" t="n">
        <v>275</v>
      </c>
      <c r="M118" s="0" t="s">
        <v>54</v>
      </c>
      <c r="N118" s="0" t="s">
        <v>169</v>
      </c>
    </row>
    <row r="119" customFormat="false" ht="15" hidden="false" customHeight="false" outlineLevel="0" collapsed="false">
      <c r="A119" s="0" t="s">
        <v>463</v>
      </c>
      <c r="B119" s="0" t="s">
        <v>464</v>
      </c>
      <c r="C119" s="0" t="s">
        <v>16</v>
      </c>
      <c r="D119" s="0" t="s">
        <v>65</v>
      </c>
      <c r="E119" s="0" t="s">
        <v>197</v>
      </c>
      <c r="F119" s="0" t="s">
        <v>390</v>
      </c>
      <c r="G119" s="0" t="n">
        <v>1938365</v>
      </c>
      <c r="H119" s="0" t="n">
        <v>55532</v>
      </c>
      <c r="I119" s="0" t="n">
        <v>11580</v>
      </c>
      <c r="J119" s="0" t="n">
        <v>29.9</v>
      </c>
      <c r="K119" s="0" t="n">
        <v>16</v>
      </c>
      <c r="L119" s="0" t="n">
        <v>498</v>
      </c>
      <c r="M119" s="0" t="s">
        <v>20</v>
      </c>
      <c r="N119" s="0" t="s">
        <v>169</v>
      </c>
    </row>
    <row r="120" customFormat="false" ht="15" hidden="false" customHeight="false" outlineLevel="0" collapsed="false">
      <c r="A120" s="0" t="s">
        <v>465</v>
      </c>
      <c r="B120" s="0" t="s">
        <v>466</v>
      </c>
      <c r="C120" s="0" t="s">
        <v>51</v>
      </c>
      <c r="D120" s="0" t="s">
        <v>39</v>
      </c>
      <c r="E120" s="0" t="s">
        <v>321</v>
      </c>
      <c r="F120" s="0" t="s">
        <v>233</v>
      </c>
      <c r="G120" s="0" t="n">
        <v>2955975</v>
      </c>
      <c r="H120" s="0" t="n">
        <v>128937</v>
      </c>
      <c r="I120" s="0" t="n">
        <v>31333</v>
      </c>
      <c r="J120" s="0" t="n">
        <v>16</v>
      </c>
      <c r="K120" s="0" t="n">
        <v>23</v>
      </c>
      <c r="L120" s="0" t="n">
        <v>790</v>
      </c>
      <c r="M120" s="0" t="s">
        <v>54</v>
      </c>
      <c r="N120" s="0" t="s">
        <v>102</v>
      </c>
    </row>
    <row r="121" customFormat="false" ht="15" hidden="false" customHeight="false" outlineLevel="0" collapsed="false">
      <c r="A121" s="0" t="s">
        <v>467</v>
      </c>
      <c r="B121" s="0" t="s">
        <v>468</v>
      </c>
      <c r="C121" s="0" t="s">
        <v>88</v>
      </c>
      <c r="D121" s="0" t="s">
        <v>89</v>
      </c>
      <c r="E121" s="0" t="s">
        <v>353</v>
      </c>
      <c r="F121" s="0" t="s">
        <v>101</v>
      </c>
      <c r="G121" s="0" t="n">
        <v>1746505</v>
      </c>
      <c r="H121" s="0" t="n">
        <v>45985</v>
      </c>
      <c r="I121" s="0" t="n">
        <v>17902</v>
      </c>
      <c r="J121" s="0" t="n">
        <v>57.4</v>
      </c>
      <c r="K121" s="0" t="n">
        <v>18</v>
      </c>
      <c r="L121" s="0" t="n">
        <v>652</v>
      </c>
      <c r="M121" s="0" t="s">
        <v>54</v>
      </c>
      <c r="N121" s="0" t="s">
        <v>96</v>
      </c>
    </row>
    <row r="122" customFormat="false" ht="15" hidden="false" customHeight="false" outlineLevel="0" collapsed="false">
      <c r="A122" s="0" t="s">
        <v>469</v>
      </c>
      <c r="B122" s="0" t="s">
        <v>470</v>
      </c>
      <c r="C122" s="0" t="s">
        <v>471</v>
      </c>
      <c r="D122" s="0" t="s">
        <v>39</v>
      </c>
      <c r="E122" s="0" t="s">
        <v>269</v>
      </c>
      <c r="F122" s="0" t="s">
        <v>472</v>
      </c>
      <c r="G122" s="0" t="n">
        <v>2383109</v>
      </c>
      <c r="H122" s="0" t="n">
        <v>107467</v>
      </c>
      <c r="I122" s="0" t="n">
        <v>27494</v>
      </c>
      <c r="J122" s="0" t="n">
        <v>47.5</v>
      </c>
      <c r="K122" s="0" t="n">
        <v>12</v>
      </c>
      <c r="L122" s="0" t="n">
        <v>296</v>
      </c>
      <c r="M122" s="0" t="s">
        <v>35</v>
      </c>
      <c r="N122" s="0" t="s">
        <v>28</v>
      </c>
    </row>
    <row r="123" customFormat="false" ht="15" hidden="false" customHeight="false" outlineLevel="0" collapsed="false">
      <c r="A123" s="0" t="s">
        <v>473</v>
      </c>
      <c r="B123" s="0" t="s">
        <v>474</v>
      </c>
      <c r="C123" s="0" t="s">
        <v>475</v>
      </c>
      <c r="D123" s="0" t="s">
        <v>25</v>
      </c>
      <c r="E123" s="0" t="s">
        <v>339</v>
      </c>
      <c r="F123" s="0" t="s">
        <v>262</v>
      </c>
      <c r="G123" s="0" t="n">
        <v>2013680</v>
      </c>
      <c r="H123" s="0" t="n">
        <v>72494</v>
      </c>
      <c r="I123" s="0" t="n">
        <v>25096</v>
      </c>
      <c r="J123" s="0" t="n">
        <v>19.9</v>
      </c>
      <c r="K123" s="0" t="n">
        <v>17</v>
      </c>
      <c r="L123" s="0" t="n">
        <v>715</v>
      </c>
      <c r="M123" s="0" t="s">
        <v>54</v>
      </c>
      <c r="N123" s="0" t="s">
        <v>21</v>
      </c>
    </row>
    <row r="124" customFormat="false" ht="15" hidden="false" customHeight="false" outlineLevel="0" collapsed="false">
      <c r="A124" s="0" t="s">
        <v>476</v>
      </c>
      <c r="B124" s="0" t="s">
        <v>477</v>
      </c>
      <c r="C124" s="0" t="s">
        <v>478</v>
      </c>
      <c r="D124" s="0" t="s">
        <v>65</v>
      </c>
      <c r="E124" s="0" t="s">
        <v>61</v>
      </c>
      <c r="F124" s="0" t="s">
        <v>353</v>
      </c>
      <c r="G124" s="0" t="n">
        <v>2431258</v>
      </c>
      <c r="H124" s="0" t="n">
        <v>81358</v>
      </c>
      <c r="I124" s="0" t="n">
        <v>21736</v>
      </c>
      <c r="J124" s="0" t="n">
        <v>55.7</v>
      </c>
      <c r="K124" s="0" t="n">
        <v>18</v>
      </c>
      <c r="L124" s="0" t="n">
        <v>369</v>
      </c>
      <c r="M124" s="0" t="s">
        <v>20</v>
      </c>
      <c r="N124" s="0" t="s">
        <v>102</v>
      </c>
    </row>
    <row r="125" customFormat="false" ht="15" hidden="false" customHeight="false" outlineLevel="0" collapsed="false">
      <c r="A125" s="0" t="s">
        <v>479</v>
      </c>
      <c r="B125" s="0" t="s">
        <v>480</v>
      </c>
      <c r="C125" s="0" t="s">
        <v>152</v>
      </c>
      <c r="D125" s="0" t="s">
        <v>17</v>
      </c>
      <c r="E125" s="0" t="s">
        <v>457</v>
      </c>
      <c r="F125" s="0" t="s">
        <v>145</v>
      </c>
      <c r="G125" s="0" t="n">
        <v>2089078</v>
      </c>
      <c r="H125" s="0" t="n">
        <v>42243</v>
      </c>
      <c r="I125" s="0" t="n">
        <v>16093</v>
      </c>
      <c r="J125" s="0" t="n">
        <v>31</v>
      </c>
      <c r="K125" s="0" t="n">
        <v>8</v>
      </c>
      <c r="L125" s="0" t="n">
        <v>664</v>
      </c>
      <c r="M125" s="0" t="s">
        <v>20</v>
      </c>
      <c r="N125" s="0" t="s">
        <v>28</v>
      </c>
    </row>
    <row r="126" customFormat="false" ht="15" hidden="false" customHeight="false" outlineLevel="0" collapsed="false">
      <c r="A126" s="0" t="s">
        <v>481</v>
      </c>
      <c r="B126" s="0" t="s">
        <v>482</v>
      </c>
      <c r="C126" s="0" t="s">
        <v>483</v>
      </c>
      <c r="D126" s="0" t="s">
        <v>144</v>
      </c>
      <c r="E126" s="0" t="s">
        <v>265</v>
      </c>
      <c r="F126" s="0" t="s">
        <v>134</v>
      </c>
      <c r="G126" s="0" t="n">
        <v>2244933</v>
      </c>
      <c r="H126" s="0" t="n">
        <v>73617</v>
      </c>
      <c r="I126" s="0" t="n">
        <v>17556</v>
      </c>
      <c r="J126" s="0" t="n">
        <v>33.9</v>
      </c>
      <c r="K126" s="0" t="n">
        <v>22</v>
      </c>
      <c r="L126" s="0" t="n">
        <v>697</v>
      </c>
      <c r="M126" s="0" t="s">
        <v>20</v>
      </c>
      <c r="N126" s="0" t="s">
        <v>81</v>
      </c>
    </row>
    <row r="127" customFormat="false" ht="15" hidden="false" customHeight="false" outlineLevel="0" collapsed="false">
      <c r="A127" s="0" t="s">
        <v>484</v>
      </c>
      <c r="B127" s="0" t="s">
        <v>485</v>
      </c>
      <c r="C127" s="0" t="s">
        <v>486</v>
      </c>
      <c r="D127" s="0" t="s">
        <v>78</v>
      </c>
      <c r="E127" s="0" t="s">
        <v>347</v>
      </c>
      <c r="F127" s="0" t="s">
        <v>487</v>
      </c>
      <c r="G127" s="0" t="n">
        <v>3872869</v>
      </c>
      <c r="H127" s="0" t="n">
        <v>118383</v>
      </c>
      <c r="I127" s="0" t="n">
        <v>32869</v>
      </c>
      <c r="J127" s="0" t="n">
        <v>51.5</v>
      </c>
      <c r="K127" s="0" t="n">
        <v>23</v>
      </c>
      <c r="L127" s="0" t="n">
        <v>456</v>
      </c>
      <c r="M127" s="0" t="s">
        <v>20</v>
      </c>
      <c r="N127" s="0" t="s">
        <v>81</v>
      </c>
    </row>
    <row r="128" customFormat="false" ht="15" hidden="false" customHeight="false" outlineLevel="0" collapsed="false">
      <c r="A128" s="0" t="s">
        <v>488</v>
      </c>
      <c r="B128" s="0" t="s">
        <v>489</v>
      </c>
      <c r="C128" s="0" t="s">
        <v>317</v>
      </c>
      <c r="D128" s="0" t="s">
        <v>32</v>
      </c>
      <c r="E128" s="0" t="s">
        <v>145</v>
      </c>
      <c r="F128" s="0" t="s">
        <v>204</v>
      </c>
      <c r="G128" s="0" t="n">
        <v>3333597</v>
      </c>
      <c r="H128" s="0" t="n">
        <v>109427</v>
      </c>
      <c r="I128" s="0" t="n">
        <v>27096</v>
      </c>
      <c r="J128" s="0" t="n">
        <v>40.8</v>
      </c>
      <c r="K128" s="0" t="n">
        <v>18</v>
      </c>
      <c r="L128" s="0" t="n">
        <v>534</v>
      </c>
      <c r="M128" s="0" t="s">
        <v>54</v>
      </c>
      <c r="N128" s="0" t="s">
        <v>140</v>
      </c>
    </row>
    <row r="129" customFormat="false" ht="15" hidden="false" customHeight="false" outlineLevel="0" collapsed="false">
      <c r="A129" s="0" t="s">
        <v>490</v>
      </c>
      <c r="B129" s="0" t="s">
        <v>491</v>
      </c>
      <c r="C129" s="0" t="s">
        <v>492</v>
      </c>
      <c r="D129" s="0" t="s">
        <v>109</v>
      </c>
      <c r="E129" s="0" t="s">
        <v>248</v>
      </c>
      <c r="F129" s="0" t="s">
        <v>451</v>
      </c>
      <c r="G129" s="0" t="n">
        <v>1216917</v>
      </c>
      <c r="H129" s="0" t="n">
        <v>27450</v>
      </c>
      <c r="I129" s="0" t="n">
        <v>9740</v>
      </c>
      <c r="J129" s="0" t="n">
        <v>22.7</v>
      </c>
      <c r="K129" s="0" t="n">
        <v>9</v>
      </c>
      <c r="L129" s="0" t="n">
        <v>376</v>
      </c>
      <c r="M129" s="0" t="s">
        <v>35</v>
      </c>
      <c r="N129" s="0" t="s">
        <v>55</v>
      </c>
    </row>
    <row r="130" customFormat="false" ht="15" hidden="false" customHeight="false" outlineLevel="0" collapsed="false">
      <c r="A130" s="0" t="s">
        <v>493</v>
      </c>
      <c r="B130" s="0" t="s">
        <v>494</v>
      </c>
      <c r="C130" s="0" t="s">
        <v>471</v>
      </c>
      <c r="D130" s="0" t="s">
        <v>78</v>
      </c>
      <c r="E130" s="0" t="s">
        <v>186</v>
      </c>
      <c r="F130" s="0" t="s">
        <v>495</v>
      </c>
      <c r="G130" s="0" t="n">
        <v>4688235</v>
      </c>
      <c r="H130" s="0" t="n">
        <v>148702</v>
      </c>
      <c r="I130" s="0" t="n">
        <v>54581</v>
      </c>
      <c r="J130" s="0" t="n">
        <v>51.7</v>
      </c>
      <c r="K130" s="0" t="n">
        <v>7</v>
      </c>
      <c r="L130" s="0" t="n">
        <v>428</v>
      </c>
      <c r="M130" s="0" t="s">
        <v>20</v>
      </c>
      <c r="N130" s="0" t="s">
        <v>140</v>
      </c>
    </row>
    <row r="131" customFormat="false" ht="15" hidden="false" customHeight="false" outlineLevel="0" collapsed="false">
      <c r="A131" s="0" t="s">
        <v>496</v>
      </c>
      <c r="B131" s="0" t="s">
        <v>497</v>
      </c>
      <c r="C131" s="0" t="s">
        <v>367</v>
      </c>
      <c r="D131" s="0" t="s">
        <v>46</v>
      </c>
      <c r="E131" s="0" t="s">
        <v>90</v>
      </c>
      <c r="F131" s="0" t="s">
        <v>339</v>
      </c>
      <c r="G131" s="0" t="n">
        <v>2390221</v>
      </c>
      <c r="H131" s="0" t="n">
        <v>60163</v>
      </c>
      <c r="I131" s="0" t="n">
        <v>13490</v>
      </c>
      <c r="J131" s="0" t="n">
        <v>43.7</v>
      </c>
      <c r="K131" s="0" t="n">
        <v>11</v>
      </c>
      <c r="L131" s="0" t="n">
        <v>357</v>
      </c>
      <c r="M131" s="0" t="s">
        <v>54</v>
      </c>
      <c r="N131" s="0" t="s">
        <v>74</v>
      </c>
    </row>
    <row r="132" customFormat="false" ht="15" hidden="false" customHeight="false" outlineLevel="0" collapsed="false">
      <c r="A132" s="0" t="s">
        <v>498</v>
      </c>
      <c r="B132" s="0" t="s">
        <v>499</v>
      </c>
      <c r="C132" s="0" t="s">
        <v>500</v>
      </c>
      <c r="D132" s="0" t="s">
        <v>144</v>
      </c>
      <c r="E132" s="0" t="s">
        <v>121</v>
      </c>
      <c r="F132" s="0" t="s">
        <v>347</v>
      </c>
      <c r="G132" s="0" t="n">
        <v>1415481</v>
      </c>
      <c r="H132" s="0" t="n">
        <v>41032</v>
      </c>
      <c r="I132" s="0" t="n">
        <v>11623</v>
      </c>
      <c r="J132" s="0" t="n">
        <v>11.8</v>
      </c>
      <c r="K132" s="0" t="n">
        <v>8</v>
      </c>
      <c r="L132" s="0" t="n">
        <v>394</v>
      </c>
      <c r="M132" s="0" t="s">
        <v>35</v>
      </c>
      <c r="N132" s="0" t="s">
        <v>122</v>
      </c>
    </row>
    <row r="133" customFormat="false" ht="15" hidden="false" customHeight="false" outlineLevel="0" collapsed="false">
      <c r="A133" s="0" t="s">
        <v>501</v>
      </c>
      <c r="B133" s="0" t="s">
        <v>502</v>
      </c>
      <c r="C133" s="0" t="s">
        <v>475</v>
      </c>
      <c r="D133" s="0" t="s">
        <v>25</v>
      </c>
      <c r="E133" s="0" t="s">
        <v>186</v>
      </c>
      <c r="F133" s="0" t="s">
        <v>120</v>
      </c>
      <c r="G133" s="0" t="n">
        <v>2735813</v>
      </c>
      <c r="H133" s="0" t="n">
        <v>80187</v>
      </c>
      <c r="I133" s="0" t="n">
        <v>32815</v>
      </c>
      <c r="J133" s="0" t="n">
        <v>38.4</v>
      </c>
      <c r="K133" s="0" t="n">
        <v>7</v>
      </c>
      <c r="L133" s="0" t="n">
        <v>331</v>
      </c>
      <c r="M133" s="0" t="s">
        <v>54</v>
      </c>
      <c r="N133" s="0" t="s">
        <v>81</v>
      </c>
    </row>
    <row r="134" customFormat="false" ht="15" hidden="false" customHeight="false" outlineLevel="0" collapsed="false">
      <c r="A134" s="0" t="s">
        <v>503</v>
      </c>
      <c r="B134" s="0" t="s">
        <v>504</v>
      </c>
      <c r="C134" s="0" t="s">
        <v>505</v>
      </c>
      <c r="D134" s="0" t="s">
        <v>32</v>
      </c>
      <c r="E134" s="0" t="s">
        <v>238</v>
      </c>
      <c r="F134" s="0" t="s">
        <v>116</v>
      </c>
      <c r="G134" s="0" t="n">
        <v>6408370</v>
      </c>
      <c r="H134" s="0" t="n">
        <v>248496</v>
      </c>
      <c r="I134" s="0" t="n">
        <v>70446</v>
      </c>
      <c r="J134" s="0" t="n">
        <v>21.3</v>
      </c>
      <c r="K134" s="0" t="n">
        <v>5</v>
      </c>
      <c r="L134" s="0" t="n">
        <v>174</v>
      </c>
      <c r="M134" s="0" t="s">
        <v>20</v>
      </c>
      <c r="N134" s="0" t="s">
        <v>140</v>
      </c>
    </row>
    <row r="135" customFormat="false" ht="15" hidden="false" customHeight="false" outlineLevel="0" collapsed="false">
      <c r="A135" s="0" t="s">
        <v>506</v>
      </c>
      <c r="B135" s="0" t="s">
        <v>507</v>
      </c>
      <c r="C135" s="0" t="s">
        <v>51</v>
      </c>
      <c r="D135" s="0" t="s">
        <v>109</v>
      </c>
      <c r="E135" s="0" t="s">
        <v>451</v>
      </c>
      <c r="F135" s="0" t="s">
        <v>435</v>
      </c>
      <c r="G135" s="0" t="n">
        <v>1243070</v>
      </c>
      <c r="H135" s="0" t="n">
        <v>36267</v>
      </c>
      <c r="I135" s="0" t="n">
        <v>12726</v>
      </c>
      <c r="J135" s="0" t="n">
        <v>26.6</v>
      </c>
      <c r="K135" s="0" t="n">
        <v>20</v>
      </c>
      <c r="L135" s="0" t="n">
        <v>427</v>
      </c>
      <c r="M135" s="0" t="s">
        <v>54</v>
      </c>
      <c r="N135" s="0" t="s">
        <v>21</v>
      </c>
    </row>
    <row r="136" customFormat="false" ht="15" hidden="false" customHeight="false" outlineLevel="0" collapsed="false">
      <c r="A136" s="0" t="s">
        <v>508</v>
      </c>
      <c r="B136" s="0" t="s">
        <v>509</v>
      </c>
      <c r="C136" s="0" t="s">
        <v>510</v>
      </c>
      <c r="D136" s="0" t="s">
        <v>32</v>
      </c>
      <c r="E136" s="0" t="s">
        <v>425</v>
      </c>
      <c r="F136" s="0" t="s">
        <v>40</v>
      </c>
      <c r="G136" s="0" t="n">
        <v>6237772</v>
      </c>
      <c r="H136" s="0" t="n">
        <v>224060</v>
      </c>
      <c r="I136" s="0" t="n">
        <v>48425</v>
      </c>
      <c r="J136" s="0" t="n">
        <v>11.1</v>
      </c>
      <c r="K136" s="0" t="n">
        <v>13</v>
      </c>
      <c r="L136" s="0" t="n">
        <v>464</v>
      </c>
      <c r="M136" s="0" t="s">
        <v>20</v>
      </c>
      <c r="N136" s="0" t="s">
        <v>96</v>
      </c>
    </row>
    <row r="137" customFormat="false" ht="15" hidden="false" customHeight="false" outlineLevel="0" collapsed="false">
      <c r="A137" s="0" t="s">
        <v>511</v>
      </c>
      <c r="B137" s="0" t="s">
        <v>512</v>
      </c>
      <c r="C137" s="0" t="s">
        <v>513</v>
      </c>
      <c r="D137" s="0" t="s">
        <v>46</v>
      </c>
      <c r="E137" s="0" t="s">
        <v>314</v>
      </c>
      <c r="F137" s="0" t="s">
        <v>389</v>
      </c>
      <c r="G137" s="0" t="n">
        <v>1784784</v>
      </c>
      <c r="H137" s="0" t="n">
        <v>54087</v>
      </c>
      <c r="I137" s="0" t="n">
        <v>19894</v>
      </c>
      <c r="J137" s="0" t="n">
        <v>34.2</v>
      </c>
      <c r="K137" s="0" t="n">
        <v>24</v>
      </c>
      <c r="L137" s="0" t="n">
        <v>784</v>
      </c>
      <c r="M137" s="0" t="s">
        <v>20</v>
      </c>
      <c r="N137" s="0" t="s">
        <v>169</v>
      </c>
    </row>
    <row r="138" customFormat="false" ht="15" hidden="false" customHeight="false" outlineLevel="0" collapsed="false">
      <c r="A138" s="0" t="s">
        <v>514</v>
      </c>
      <c r="B138" s="0" t="s">
        <v>515</v>
      </c>
      <c r="C138" s="0" t="s">
        <v>93</v>
      </c>
      <c r="D138" s="0" t="s">
        <v>65</v>
      </c>
      <c r="E138" s="0" t="s">
        <v>139</v>
      </c>
      <c r="F138" s="0" t="s">
        <v>176</v>
      </c>
      <c r="G138" s="0" t="n">
        <v>2229781</v>
      </c>
      <c r="H138" s="0" t="n">
        <v>65605</v>
      </c>
      <c r="I138" s="0" t="n">
        <v>12514</v>
      </c>
      <c r="J138" s="0" t="n">
        <v>11.6</v>
      </c>
      <c r="K138" s="0" t="n">
        <v>11</v>
      </c>
      <c r="L138" s="0" t="n">
        <v>240</v>
      </c>
      <c r="M138" s="0" t="s">
        <v>54</v>
      </c>
      <c r="N138" s="0" t="s">
        <v>81</v>
      </c>
    </row>
    <row r="139" customFormat="false" ht="15" hidden="false" customHeight="false" outlineLevel="0" collapsed="false">
      <c r="A139" s="0" t="s">
        <v>516</v>
      </c>
      <c r="B139" s="0" t="s">
        <v>517</v>
      </c>
      <c r="C139" s="0" t="s">
        <v>392</v>
      </c>
      <c r="D139" s="0" t="s">
        <v>144</v>
      </c>
      <c r="E139" s="0" t="s">
        <v>90</v>
      </c>
      <c r="F139" s="0" t="s">
        <v>372</v>
      </c>
      <c r="G139" s="0" t="n">
        <v>2098635</v>
      </c>
      <c r="H139" s="0" t="n">
        <v>42796</v>
      </c>
      <c r="I139" s="0" t="n">
        <v>13526</v>
      </c>
      <c r="J139" s="0" t="n">
        <v>39.2</v>
      </c>
      <c r="K139" s="0" t="n">
        <v>22</v>
      </c>
      <c r="L139" s="0" t="n">
        <v>338</v>
      </c>
      <c r="M139" s="0" t="s">
        <v>20</v>
      </c>
      <c r="N139" s="0" t="s">
        <v>28</v>
      </c>
    </row>
    <row r="140" customFormat="false" ht="15" hidden="false" customHeight="false" outlineLevel="0" collapsed="false">
      <c r="A140" s="0" t="s">
        <v>518</v>
      </c>
      <c r="B140" s="0" t="s">
        <v>104</v>
      </c>
      <c r="C140" s="0" t="s">
        <v>16</v>
      </c>
      <c r="D140" s="0" t="s">
        <v>89</v>
      </c>
      <c r="E140" s="0" t="s">
        <v>198</v>
      </c>
      <c r="F140" s="0" t="s">
        <v>306</v>
      </c>
      <c r="G140" s="0" t="n">
        <v>1530887</v>
      </c>
      <c r="H140" s="0" t="n">
        <v>39599</v>
      </c>
      <c r="I140" s="0" t="n">
        <v>9614</v>
      </c>
      <c r="J140" s="0" t="n">
        <v>18.1</v>
      </c>
      <c r="K140" s="0" t="n">
        <v>17</v>
      </c>
      <c r="L140" s="0" t="n">
        <v>419</v>
      </c>
      <c r="M140" s="0" t="s">
        <v>20</v>
      </c>
      <c r="N140" s="0" t="s">
        <v>81</v>
      </c>
    </row>
    <row r="141" customFormat="false" ht="15" hidden="false" customHeight="false" outlineLevel="0" collapsed="false">
      <c r="A141" s="0" t="s">
        <v>519</v>
      </c>
      <c r="B141" s="0" t="s">
        <v>520</v>
      </c>
      <c r="C141" s="0" t="s">
        <v>427</v>
      </c>
      <c r="D141" s="0" t="s">
        <v>89</v>
      </c>
      <c r="E141" s="0" t="s">
        <v>244</v>
      </c>
      <c r="F141" s="0" t="s">
        <v>233</v>
      </c>
      <c r="G141" s="0" t="n">
        <v>2005066</v>
      </c>
      <c r="H141" s="0" t="n">
        <v>41422</v>
      </c>
      <c r="I141" s="0" t="n">
        <v>11873</v>
      </c>
      <c r="J141" s="0" t="n">
        <v>55.5</v>
      </c>
      <c r="K141" s="0" t="n">
        <v>9</v>
      </c>
      <c r="L141" s="0" t="n">
        <v>620</v>
      </c>
      <c r="M141" s="0" t="s">
        <v>35</v>
      </c>
      <c r="N141" s="0" t="s">
        <v>21</v>
      </c>
    </row>
    <row r="142" customFormat="false" ht="15" hidden="false" customHeight="false" outlineLevel="0" collapsed="false">
      <c r="A142" s="0" t="s">
        <v>521</v>
      </c>
      <c r="B142" s="0" t="s">
        <v>522</v>
      </c>
      <c r="C142" s="0" t="s">
        <v>523</v>
      </c>
      <c r="D142" s="0" t="s">
        <v>32</v>
      </c>
      <c r="E142" s="0" t="s">
        <v>425</v>
      </c>
      <c r="F142" s="0" t="s">
        <v>95</v>
      </c>
      <c r="G142" s="0" t="n">
        <v>5575199</v>
      </c>
      <c r="H142" s="0" t="n">
        <v>234769</v>
      </c>
      <c r="I142" s="0" t="n">
        <v>72981</v>
      </c>
      <c r="J142" s="0" t="n">
        <v>48.2</v>
      </c>
      <c r="K142" s="0" t="n">
        <v>13</v>
      </c>
      <c r="L142" s="0" t="n">
        <v>667</v>
      </c>
      <c r="M142" s="0" t="s">
        <v>54</v>
      </c>
      <c r="N142" s="0" t="s">
        <v>96</v>
      </c>
    </row>
    <row r="143" customFormat="false" ht="15" hidden="false" customHeight="false" outlineLevel="0" collapsed="false">
      <c r="A143" s="0" t="s">
        <v>524</v>
      </c>
      <c r="B143" s="0" t="s">
        <v>525</v>
      </c>
      <c r="C143" s="0" t="s">
        <v>526</v>
      </c>
      <c r="D143" s="0" t="s">
        <v>32</v>
      </c>
      <c r="E143" s="0" t="s">
        <v>372</v>
      </c>
      <c r="F143" s="0" t="s">
        <v>262</v>
      </c>
      <c r="G143" s="0" t="n">
        <v>1739065</v>
      </c>
      <c r="H143" s="0" t="n">
        <v>88457</v>
      </c>
      <c r="I143" s="0" t="n">
        <v>21199</v>
      </c>
      <c r="J143" s="0" t="n">
        <v>24.6</v>
      </c>
      <c r="K143" s="0" t="n">
        <v>11</v>
      </c>
      <c r="L143" s="0" t="n">
        <v>372</v>
      </c>
      <c r="M143" s="0" t="s">
        <v>20</v>
      </c>
      <c r="N143" s="0" t="s">
        <v>67</v>
      </c>
    </row>
    <row r="144" customFormat="false" ht="15" hidden="false" customHeight="false" outlineLevel="0" collapsed="false">
      <c r="A144" s="0" t="s">
        <v>527</v>
      </c>
      <c r="B144" s="0" t="s">
        <v>528</v>
      </c>
      <c r="C144" s="0" t="s">
        <v>529</v>
      </c>
      <c r="D144" s="0" t="s">
        <v>46</v>
      </c>
      <c r="E144" s="0" t="s">
        <v>253</v>
      </c>
      <c r="F144" s="0" t="s">
        <v>53</v>
      </c>
      <c r="G144" s="0" t="n">
        <v>2563886</v>
      </c>
      <c r="H144" s="0" t="n">
        <v>99386</v>
      </c>
      <c r="I144" s="0" t="n">
        <v>31015</v>
      </c>
      <c r="J144" s="0" t="n">
        <v>29.8</v>
      </c>
      <c r="K144" s="0" t="n">
        <v>6</v>
      </c>
      <c r="L144" s="0" t="n">
        <v>403</v>
      </c>
      <c r="M144" s="0" t="s">
        <v>20</v>
      </c>
      <c r="N144" s="0" t="s">
        <v>21</v>
      </c>
    </row>
    <row r="145" customFormat="false" ht="15" hidden="false" customHeight="false" outlineLevel="0" collapsed="false">
      <c r="A145" s="0" t="s">
        <v>530</v>
      </c>
      <c r="B145" s="0" t="s">
        <v>531</v>
      </c>
      <c r="C145" s="0" t="s">
        <v>532</v>
      </c>
      <c r="D145" s="0" t="s">
        <v>17</v>
      </c>
      <c r="E145" s="0" t="s">
        <v>340</v>
      </c>
      <c r="F145" s="0" t="s">
        <v>418</v>
      </c>
      <c r="G145" s="0" t="n">
        <v>2092417</v>
      </c>
      <c r="H145" s="0" t="n">
        <v>51243</v>
      </c>
      <c r="I145" s="0" t="n">
        <v>18183</v>
      </c>
      <c r="J145" s="0" t="n">
        <v>23.7</v>
      </c>
      <c r="K145" s="0" t="n">
        <v>18</v>
      </c>
      <c r="L145" s="0" t="n">
        <v>703</v>
      </c>
      <c r="M145" s="0" t="s">
        <v>35</v>
      </c>
      <c r="N145" s="0" t="s">
        <v>140</v>
      </c>
    </row>
    <row r="146" customFormat="false" ht="15" hidden="false" customHeight="false" outlineLevel="0" collapsed="false">
      <c r="A146" s="0" t="s">
        <v>533</v>
      </c>
      <c r="B146" s="0" t="s">
        <v>534</v>
      </c>
      <c r="C146" s="0" t="s">
        <v>535</v>
      </c>
      <c r="D146" s="0" t="s">
        <v>144</v>
      </c>
      <c r="E146" s="0" t="s">
        <v>66</v>
      </c>
      <c r="F146" s="0" t="s">
        <v>80</v>
      </c>
      <c r="G146" s="0" t="n">
        <v>1734530</v>
      </c>
      <c r="H146" s="0" t="n">
        <v>39381</v>
      </c>
      <c r="I146" s="0" t="n">
        <v>12131</v>
      </c>
      <c r="J146" s="0" t="n">
        <v>35.3</v>
      </c>
      <c r="K146" s="0" t="n">
        <v>18</v>
      </c>
      <c r="L146" s="0" t="n">
        <v>581</v>
      </c>
      <c r="M146" s="0" t="s">
        <v>20</v>
      </c>
      <c r="N146" s="0" t="s">
        <v>28</v>
      </c>
    </row>
    <row r="147" customFormat="false" ht="15" hidden="false" customHeight="false" outlineLevel="0" collapsed="false">
      <c r="A147" s="0" t="s">
        <v>536</v>
      </c>
      <c r="B147" s="0" t="s">
        <v>104</v>
      </c>
      <c r="C147" s="0" t="s">
        <v>196</v>
      </c>
      <c r="D147" s="0" t="s">
        <v>46</v>
      </c>
      <c r="E147" s="0" t="s">
        <v>158</v>
      </c>
      <c r="F147" s="0" t="s">
        <v>229</v>
      </c>
      <c r="G147" s="0" t="n">
        <v>1457668</v>
      </c>
      <c r="H147" s="0" t="n">
        <v>35046</v>
      </c>
      <c r="I147" s="0" t="n">
        <v>11287</v>
      </c>
      <c r="J147" s="0" t="n">
        <v>35.1</v>
      </c>
      <c r="K147" s="0" t="n">
        <v>17</v>
      </c>
      <c r="L147" s="0" t="n">
        <v>513</v>
      </c>
      <c r="M147" s="0" t="s">
        <v>20</v>
      </c>
      <c r="N147" s="0" t="s">
        <v>55</v>
      </c>
    </row>
    <row r="148" customFormat="false" ht="15" hidden="false" customHeight="false" outlineLevel="0" collapsed="false">
      <c r="A148" s="0" t="s">
        <v>537</v>
      </c>
      <c r="B148" s="0" t="s">
        <v>538</v>
      </c>
      <c r="C148" s="0" t="s">
        <v>327</v>
      </c>
      <c r="D148" s="0" t="s">
        <v>46</v>
      </c>
      <c r="E148" s="0" t="s">
        <v>539</v>
      </c>
      <c r="F148" s="0" t="s">
        <v>163</v>
      </c>
      <c r="G148" s="0" t="n">
        <v>1586956</v>
      </c>
      <c r="H148" s="0" t="n">
        <v>48397</v>
      </c>
      <c r="I148" s="0" t="n">
        <v>17045</v>
      </c>
      <c r="J148" s="0" t="n">
        <v>52.9</v>
      </c>
      <c r="K148" s="0" t="n">
        <v>22</v>
      </c>
      <c r="L148" s="0" t="n">
        <v>370</v>
      </c>
      <c r="M148" s="0" t="s">
        <v>54</v>
      </c>
      <c r="N148" s="0" t="s">
        <v>81</v>
      </c>
    </row>
    <row r="149" customFormat="false" ht="15" hidden="false" customHeight="false" outlineLevel="0" collapsed="false">
      <c r="A149" s="0" t="s">
        <v>540</v>
      </c>
      <c r="B149" s="0" t="s">
        <v>541</v>
      </c>
      <c r="C149" s="0" t="s">
        <v>309</v>
      </c>
      <c r="D149" s="0" t="s">
        <v>17</v>
      </c>
      <c r="E149" s="0" t="s">
        <v>100</v>
      </c>
      <c r="F149" s="0" t="s">
        <v>299</v>
      </c>
      <c r="G149" s="0" t="n">
        <v>1992009</v>
      </c>
      <c r="H149" s="0" t="n">
        <v>49322</v>
      </c>
      <c r="I149" s="0" t="n">
        <v>12883</v>
      </c>
      <c r="J149" s="0" t="n">
        <v>57.6</v>
      </c>
      <c r="K149" s="0" t="n">
        <v>10</v>
      </c>
      <c r="L149" s="0" t="n">
        <v>364</v>
      </c>
      <c r="M149" s="0" t="s">
        <v>54</v>
      </c>
      <c r="N149" s="0" t="s">
        <v>28</v>
      </c>
    </row>
    <row r="150" customFormat="false" ht="15" hidden="false" customHeight="false" outlineLevel="0" collapsed="false">
      <c r="A150" s="0" t="s">
        <v>542</v>
      </c>
      <c r="B150" s="0" t="s">
        <v>543</v>
      </c>
      <c r="C150" s="0" t="s">
        <v>535</v>
      </c>
      <c r="D150" s="0" t="s">
        <v>32</v>
      </c>
      <c r="E150" s="0" t="s">
        <v>544</v>
      </c>
      <c r="F150" s="0" t="s">
        <v>176</v>
      </c>
      <c r="G150" s="0" t="n">
        <v>6346272</v>
      </c>
      <c r="H150" s="0" t="n">
        <v>232183</v>
      </c>
      <c r="I150" s="0" t="n">
        <v>67955</v>
      </c>
      <c r="J150" s="0" t="n">
        <v>7.8</v>
      </c>
      <c r="K150" s="0" t="n">
        <v>6</v>
      </c>
      <c r="L150" s="0" t="n">
        <v>531</v>
      </c>
      <c r="M150" s="0" t="s">
        <v>54</v>
      </c>
      <c r="N150" s="0" t="s">
        <v>122</v>
      </c>
    </row>
    <row r="151" customFormat="false" ht="15" hidden="false" customHeight="false" outlineLevel="0" collapsed="false">
      <c r="A151" s="0" t="s">
        <v>545</v>
      </c>
      <c r="B151" s="0" t="s">
        <v>546</v>
      </c>
      <c r="C151" s="0" t="s">
        <v>93</v>
      </c>
      <c r="D151" s="0" t="s">
        <v>32</v>
      </c>
      <c r="E151" s="0" t="s">
        <v>314</v>
      </c>
      <c r="F151" s="0" t="s">
        <v>335</v>
      </c>
      <c r="G151" s="0" t="n">
        <v>6066733</v>
      </c>
      <c r="H151" s="0" t="n">
        <v>266035</v>
      </c>
      <c r="I151" s="0" t="n">
        <v>62252</v>
      </c>
      <c r="J151" s="0" t="n">
        <v>11.3</v>
      </c>
      <c r="K151" s="0" t="n">
        <v>7</v>
      </c>
      <c r="L151" s="0" t="n">
        <v>391</v>
      </c>
      <c r="M151" s="0" t="s">
        <v>35</v>
      </c>
      <c r="N151" s="0" t="s">
        <v>67</v>
      </c>
    </row>
    <row r="152" customFormat="false" ht="15" hidden="false" customHeight="false" outlineLevel="0" collapsed="false">
      <c r="A152" s="0" t="s">
        <v>547</v>
      </c>
      <c r="B152" s="0" t="s">
        <v>548</v>
      </c>
      <c r="C152" s="0" t="s">
        <v>549</v>
      </c>
      <c r="D152" s="0" t="s">
        <v>71</v>
      </c>
      <c r="E152" s="0" t="s">
        <v>321</v>
      </c>
      <c r="F152" s="0" t="s">
        <v>60</v>
      </c>
      <c r="G152" s="0" t="n">
        <v>1518346</v>
      </c>
      <c r="H152" s="0" t="n">
        <v>39378</v>
      </c>
      <c r="I152" s="0" t="n">
        <v>10827</v>
      </c>
      <c r="J152" s="0" t="n">
        <v>49.6</v>
      </c>
      <c r="K152" s="0" t="n">
        <v>15</v>
      </c>
      <c r="L152" s="0" t="n">
        <v>380</v>
      </c>
      <c r="M152" s="0" t="s">
        <v>20</v>
      </c>
      <c r="N152" s="0" t="s">
        <v>169</v>
      </c>
    </row>
    <row r="153" customFormat="false" ht="15" hidden="false" customHeight="false" outlineLevel="0" collapsed="false">
      <c r="A153" s="0" t="s">
        <v>550</v>
      </c>
      <c r="B153" s="0" t="s">
        <v>551</v>
      </c>
      <c r="C153" s="0" t="s">
        <v>77</v>
      </c>
      <c r="D153" s="0" t="s">
        <v>144</v>
      </c>
      <c r="E153" s="0" t="s">
        <v>552</v>
      </c>
      <c r="F153" s="0" t="s">
        <v>163</v>
      </c>
      <c r="G153" s="0" t="n">
        <v>2613691</v>
      </c>
      <c r="H153" s="0" t="n">
        <v>65293</v>
      </c>
      <c r="I153" s="0" t="n">
        <v>16589</v>
      </c>
      <c r="J153" s="0" t="n">
        <v>41.5</v>
      </c>
      <c r="K153" s="0" t="n">
        <v>6</v>
      </c>
      <c r="L153" s="0" t="n">
        <v>536</v>
      </c>
      <c r="M153" s="0" t="s">
        <v>20</v>
      </c>
      <c r="N153" s="0" t="s">
        <v>28</v>
      </c>
    </row>
    <row r="154" customFormat="false" ht="15" hidden="false" customHeight="false" outlineLevel="0" collapsed="false">
      <c r="A154" s="0" t="s">
        <v>553</v>
      </c>
      <c r="B154" s="0" t="s">
        <v>554</v>
      </c>
      <c r="C154" s="0" t="s">
        <v>201</v>
      </c>
      <c r="D154" s="0" t="s">
        <v>32</v>
      </c>
      <c r="E154" s="0" t="s">
        <v>95</v>
      </c>
      <c r="F154" s="0" t="s">
        <v>47</v>
      </c>
      <c r="G154" s="0" t="n">
        <v>4029278</v>
      </c>
      <c r="H154" s="0" t="n">
        <v>117231</v>
      </c>
      <c r="I154" s="0" t="n">
        <v>36566</v>
      </c>
      <c r="J154" s="0" t="n">
        <v>46.4</v>
      </c>
      <c r="K154" s="0" t="n">
        <v>10</v>
      </c>
      <c r="L154" s="0" t="n">
        <v>445</v>
      </c>
      <c r="M154" s="0" t="s">
        <v>20</v>
      </c>
      <c r="N154" s="0" t="s">
        <v>169</v>
      </c>
    </row>
    <row r="155" customFormat="false" ht="15" hidden="false" customHeight="false" outlineLevel="0" collapsed="false">
      <c r="A155" s="0" t="s">
        <v>555</v>
      </c>
      <c r="B155" s="0" t="s">
        <v>556</v>
      </c>
      <c r="C155" s="0" t="s">
        <v>356</v>
      </c>
      <c r="D155" s="0" t="s">
        <v>32</v>
      </c>
      <c r="E155" s="0" t="s">
        <v>389</v>
      </c>
      <c r="F155" s="0" t="s">
        <v>248</v>
      </c>
      <c r="G155" s="0" t="n">
        <v>4125014</v>
      </c>
      <c r="H155" s="0" t="n">
        <v>162292</v>
      </c>
      <c r="I155" s="0" t="n">
        <v>55117</v>
      </c>
      <c r="J155" s="0" t="n">
        <v>36.9</v>
      </c>
      <c r="K155" s="0" t="n">
        <v>12</v>
      </c>
      <c r="L155" s="0" t="n">
        <v>699</v>
      </c>
      <c r="M155" s="0" t="s">
        <v>35</v>
      </c>
      <c r="N155" s="0" t="s">
        <v>21</v>
      </c>
    </row>
    <row r="156" customFormat="false" ht="15" hidden="false" customHeight="false" outlineLevel="0" collapsed="false">
      <c r="A156" s="0" t="s">
        <v>557</v>
      </c>
      <c r="B156" s="0" t="s">
        <v>275</v>
      </c>
      <c r="C156" s="0" t="s">
        <v>51</v>
      </c>
      <c r="D156" s="0" t="s">
        <v>89</v>
      </c>
      <c r="E156" s="0" t="s">
        <v>19</v>
      </c>
      <c r="F156" s="0" t="s">
        <v>558</v>
      </c>
      <c r="G156" s="0" t="n">
        <v>1137163</v>
      </c>
      <c r="H156" s="0" t="n">
        <v>26844</v>
      </c>
      <c r="I156" s="0" t="n">
        <v>10165</v>
      </c>
      <c r="J156" s="0" t="n">
        <v>34.8</v>
      </c>
      <c r="K156" s="0" t="n">
        <v>22</v>
      </c>
      <c r="L156" s="0" t="n">
        <v>414</v>
      </c>
      <c r="M156" s="0" t="s">
        <v>20</v>
      </c>
      <c r="N156" s="0" t="s">
        <v>67</v>
      </c>
    </row>
    <row r="157" customFormat="false" ht="15" hidden="false" customHeight="false" outlineLevel="0" collapsed="false">
      <c r="A157" s="0" t="s">
        <v>559</v>
      </c>
      <c r="B157" s="0" t="s">
        <v>560</v>
      </c>
      <c r="C157" s="0" t="s">
        <v>561</v>
      </c>
      <c r="D157" s="0" t="s">
        <v>39</v>
      </c>
      <c r="E157" s="0" t="s">
        <v>562</v>
      </c>
      <c r="F157" s="0" t="s">
        <v>237</v>
      </c>
      <c r="G157" s="0" t="n">
        <v>1982422</v>
      </c>
      <c r="H157" s="0" t="n">
        <v>59266</v>
      </c>
      <c r="I157" s="0" t="n">
        <v>21832</v>
      </c>
      <c r="J157" s="0" t="n">
        <v>20.7</v>
      </c>
      <c r="K157" s="0" t="n">
        <v>17</v>
      </c>
      <c r="L157" s="0" t="n">
        <v>663</v>
      </c>
      <c r="M157" s="0" t="s">
        <v>20</v>
      </c>
      <c r="N157" s="0" t="s">
        <v>42</v>
      </c>
    </row>
    <row r="158" customFormat="false" ht="15" hidden="false" customHeight="false" outlineLevel="0" collapsed="false">
      <c r="A158" s="0" t="s">
        <v>563</v>
      </c>
      <c r="B158" s="0" t="s">
        <v>564</v>
      </c>
      <c r="C158" s="0" t="s">
        <v>505</v>
      </c>
      <c r="D158" s="0" t="s">
        <v>39</v>
      </c>
      <c r="E158" s="0" t="s">
        <v>111</v>
      </c>
      <c r="F158" s="0" t="s">
        <v>270</v>
      </c>
      <c r="G158" s="0" t="n">
        <v>3092224</v>
      </c>
      <c r="H158" s="0" t="n">
        <v>124281</v>
      </c>
      <c r="I158" s="0" t="n">
        <v>31826</v>
      </c>
      <c r="J158" s="0" t="n">
        <v>16.5</v>
      </c>
      <c r="K158" s="0" t="n">
        <v>22</v>
      </c>
      <c r="L158" s="0" t="n">
        <v>730</v>
      </c>
      <c r="M158" s="0" t="s">
        <v>54</v>
      </c>
      <c r="N158" s="0" t="s">
        <v>96</v>
      </c>
    </row>
    <row r="159" customFormat="false" ht="15" hidden="false" customHeight="false" outlineLevel="0" collapsed="false">
      <c r="A159" s="0" t="s">
        <v>565</v>
      </c>
      <c r="B159" s="0" t="s">
        <v>566</v>
      </c>
      <c r="C159" s="0" t="s">
        <v>567</v>
      </c>
      <c r="D159" s="0" t="s">
        <v>25</v>
      </c>
      <c r="E159" s="0" t="s">
        <v>72</v>
      </c>
      <c r="F159" s="0" t="s">
        <v>418</v>
      </c>
      <c r="G159" s="0" t="n">
        <v>1896069</v>
      </c>
      <c r="H159" s="0" t="n">
        <v>53175</v>
      </c>
      <c r="I159" s="0" t="n">
        <v>18005</v>
      </c>
      <c r="J159" s="0" t="n">
        <v>52.7</v>
      </c>
      <c r="K159" s="0" t="n">
        <v>8</v>
      </c>
      <c r="L159" s="0" t="n">
        <v>378</v>
      </c>
      <c r="M159" s="0" t="s">
        <v>20</v>
      </c>
      <c r="N159" s="0" t="s">
        <v>28</v>
      </c>
    </row>
    <row r="160" customFormat="false" ht="15" hidden="false" customHeight="false" outlineLevel="0" collapsed="false">
      <c r="A160" s="0" t="s">
        <v>568</v>
      </c>
      <c r="B160" s="0" t="s">
        <v>569</v>
      </c>
      <c r="C160" s="0" t="s">
        <v>324</v>
      </c>
      <c r="D160" s="0" t="s">
        <v>32</v>
      </c>
      <c r="E160" s="0" t="s">
        <v>353</v>
      </c>
      <c r="F160" s="0" t="s">
        <v>101</v>
      </c>
      <c r="G160" s="0" t="n">
        <v>3544186</v>
      </c>
      <c r="H160" s="0" t="n">
        <v>138103</v>
      </c>
      <c r="I160" s="0" t="n">
        <v>30249</v>
      </c>
      <c r="J160" s="0" t="n">
        <v>25.3</v>
      </c>
      <c r="K160" s="0" t="n">
        <v>6</v>
      </c>
      <c r="L160" s="0" t="n">
        <v>562</v>
      </c>
      <c r="M160" s="0" t="s">
        <v>35</v>
      </c>
      <c r="N160" s="0" t="s">
        <v>55</v>
      </c>
    </row>
    <row r="161" customFormat="false" ht="15" hidden="false" customHeight="false" outlineLevel="0" collapsed="false">
      <c r="A161" s="0" t="s">
        <v>570</v>
      </c>
      <c r="B161" s="0" t="s">
        <v>571</v>
      </c>
      <c r="C161" s="0" t="s">
        <v>572</v>
      </c>
      <c r="D161" s="0" t="s">
        <v>89</v>
      </c>
      <c r="E161" s="0" t="s">
        <v>138</v>
      </c>
      <c r="F161" s="0" t="s">
        <v>153</v>
      </c>
      <c r="G161" s="0" t="n">
        <v>1470807</v>
      </c>
      <c r="H161" s="0" t="n">
        <v>34106</v>
      </c>
      <c r="I161" s="0" t="n">
        <v>13803</v>
      </c>
      <c r="J161" s="0" t="n">
        <v>54.5</v>
      </c>
      <c r="K161" s="0" t="n">
        <v>22</v>
      </c>
      <c r="L161" s="0" t="n">
        <v>753</v>
      </c>
      <c r="M161" s="0" t="s">
        <v>20</v>
      </c>
      <c r="N161" s="0" t="s">
        <v>28</v>
      </c>
    </row>
    <row r="162" customFormat="false" ht="15" hidden="false" customHeight="false" outlineLevel="0" collapsed="false">
      <c r="A162" s="0" t="s">
        <v>573</v>
      </c>
      <c r="B162" s="0" t="s">
        <v>200</v>
      </c>
      <c r="C162" s="0" t="s">
        <v>137</v>
      </c>
      <c r="D162" s="0" t="s">
        <v>144</v>
      </c>
      <c r="E162" s="0" t="s">
        <v>574</v>
      </c>
      <c r="F162" s="0" t="s">
        <v>266</v>
      </c>
      <c r="G162" s="0" t="n">
        <v>2571026</v>
      </c>
      <c r="H162" s="0" t="n">
        <v>51597</v>
      </c>
      <c r="I162" s="0" t="n">
        <v>14844</v>
      </c>
      <c r="J162" s="0" t="n">
        <v>33.9</v>
      </c>
      <c r="K162" s="0" t="n">
        <v>11</v>
      </c>
      <c r="L162" s="0" t="n">
        <v>568</v>
      </c>
      <c r="M162" s="0" t="s">
        <v>20</v>
      </c>
      <c r="N162" s="0" t="s">
        <v>81</v>
      </c>
    </row>
    <row r="163" customFormat="false" ht="15" hidden="false" customHeight="false" outlineLevel="0" collapsed="false">
      <c r="A163" s="0" t="s">
        <v>575</v>
      </c>
      <c r="B163" s="0" t="s">
        <v>576</v>
      </c>
      <c r="C163" s="0" t="s">
        <v>64</v>
      </c>
      <c r="D163" s="0" t="s">
        <v>65</v>
      </c>
      <c r="E163" s="0" t="s">
        <v>52</v>
      </c>
      <c r="F163" s="0" t="s">
        <v>253</v>
      </c>
      <c r="G163" s="0" t="n">
        <v>1872168</v>
      </c>
      <c r="H163" s="0" t="n">
        <v>45222</v>
      </c>
      <c r="I163" s="0" t="n">
        <v>12788</v>
      </c>
      <c r="J163" s="0" t="n">
        <v>33</v>
      </c>
      <c r="K163" s="0" t="n">
        <v>7</v>
      </c>
      <c r="L163" s="0" t="n">
        <v>242</v>
      </c>
      <c r="M163" s="0" t="s">
        <v>54</v>
      </c>
      <c r="N163" s="0" t="s">
        <v>122</v>
      </c>
    </row>
    <row r="164" customFormat="false" ht="15" hidden="false" customHeight="false" outlineLevel="0" collapsed="false">
      <c r="A164" s="0" t="s">
        <v>577</v>
      </c>
      <c r="B164" s="0" t="s">
        <v>113</v>
      </c>
      <c r="C164" s="0" t="s">
        <v>578</v>
      </c>
      <c r="D164" s="0" t="s">
        <v>46</v>
      </c>
      <c r="E164" s="0" t="s">
        <v>79</v>
      </c>
      <c r="F164" s="0" t="s">
        <v>80</v>
      </c>
      <c r="G164" s="0" t="n">
        <v>2121846</v>
      </c>
      <c r="H164" s="0" t="n">
        <v>64503</v>
      </c>
      <c r="I164" s="0" t="n">
        <v>16272</v>
      </c>
      <c r="J164" s="0" t="n">
        <v>55.3</v>
      </c>
      <c r="K164" s="0" t="n">
        <v>18</v>
      </c>
      <c r="L164" s="0" t="n">
        <v>735</v>
      </c>
      <c r="M164" s="0" t="s">
        <v>20</v>
      </c>
      <c r="N164" s="0" t="s">
        <v>102</v>
      </c>
    </row>
    <row r="165" customFormat="false" ht="15" hidden="false" customHeight="false" outlineLevel="0" collapsed="false">
      <c r="A165" s="0" t="s">
        <v>579</v>
      </c>
      <c r="B165" s="0" t="s">
        <v>580</v>
      </c>
      <c r="C165" s="0" t="s">
        <v>523</v>
      </c>
      <c r="D165" s="0" t="s">
        <v>71</v>
      </c>
      <c r="E165" s="0" t="s">
        <v>238</v>
      </c>
      <c r="F165" s="0" t="s">
        <v>335</v>
      </c>
      <c r="G165" s="0" t="n">
        <v>1805172</v>
      </c>
      <c r="H165" s="0" t="n">
        <v>53726</v>
      </c>
      <c r="I165" s="0" t="n">
        <v>13990</v>
      </c>
      <c r="J165" s="0" t="n">
        <v>26.2</v>
      </c>
      <c r="K165" s="0" t="n">
        <v>16</v>
      </c>
      <c r="L165" s="0" t="n">
        <v>725</v>
      </c>
      <c r="M165" s="0" t="s">
        <v>54</v>
      </c>
      <c r="N165" s="0" t="s">
        <v>21</v>
      </c>
    </row>
    <row r="166" customFormat="false" ht="15" hidden="false" customHeight="false" outlineLevel="0" collapsed="false">
      <c r="A166" s="0" t="s">
        <v>581</v>
      </c>
      <c r="B166" s="0" t="s">
        <v>582</v>
      </c>
      <c r="C166" s="0" t="s">
        <v>583</v>
      </c>
      <c r="D166" s="0" t="s">
        <v>25</v>
      </c>
      <c r="E166" s="0" t="s">
        <v>425</v>
      </c>
      <c r="F166" s="0" t="s">
        <v>95</v>
      </c>
      <c r="G166" s="0" t="n">
        <v>3410743</v>
      </c>
      <c r="H166" s="0" t="n">
        <v>94649</v>
      </c>
      <c r="I166" s="0" t="n">
        <v>25605</v>
      </c>
      <c r="J166" s="0" t="n">
        <v>44.8</v>
      </c>
      <c r="K166" s="0" t="n">
        <v>17</v>
      </c>
      <c r="L166" s="0" t="n">
        <v>606</v>
      </c>
      <c r="M166" s="0" t="s">
        <v>20</v>
      </c>
      <c r="N166" s="0" t="s">
        <v>102</v>
      </c>
    </row>
    <row r="167" customFormat="false" ht="15" hidden="false" customHeight="false" outlineLevel="0" collapsed="false">
      <c r="A167" s="0" t="s">
        <v>584</v>
      </c>
      <c r="B167" s="0" t="s">
        <v>585</v>
      </c>
      <c r="C167" s="0" t="s">
        <v>84</v>
      </c>
      <c r="D167" s="0" t="s">
        <v>17</v>
      </c>
      <c r="E167" s="0" t="s">
        <v>586</v>
      </c>
      <c r="F167" s="0" t="s">
        <v>422</v>
      </c>
      <c r="G167" s="0" t="n">
        <v>2477440</v>
      </c>
      <c r="H167" s="0" t="n">
        <v>59886</v>
      </c>
      <c r="I167" s="0" t="n">
        <v>20194</v>
      </c>
      <c r="J167" s="0" t="n">
        <v>34.3</v>
      </c>
      <c r="K167" s="0" t="n">
        <v>10</v>
      </c>
      <c r="L167" s="0" t="n">
        <v>391</v>
      </c>
      <c r="M167" s="0" t="s">
        <v>20</v>
      </c>
      <c r="N167" s="0" t="s">
        <v>122</v>
      </c>
    </row>
    <row r="168" customFormat="false" ht="15" hidden="false" customHeight="false" outlineLevel="0" collapsed="false">
      <c r="A168" s="0" t="s">
        <v>587</v>
      </c>
      <c r="B168" s="0" t="s">
        <v>174</v>
      </c>
      <c r="C168" s="0" t="s">
        <v>378</v>
      </c>
      <c r="D168" s="0" t="s">
        <v>71</v>
      </c>
      <c r="E168" s="0" t="s">
        <v>407</v>
      </c>
      <c r="F168" s="0" t="s">
        <v>238</v>
      </c>
      <c r="G168" s="0" t="n">
        <v>972230</v>
      </c>
      <c r="H168" s="0" t="n">
        <v>30511</v>
      </c>
      <c r="I168" s="0" t="n">
        <v>6412</v>
      </c>
      <c r="J168" s="0" t="n">
        <v>4</v>
      </c>
      <c r="K168" s="0" t="n">
        <v>7</v>
      </c>
      <c r="L168" s="0" t="n">
        <v>569</v>
      </c>
      <c r="M168" s="0" t="s">
        <v>54</v>
      </c>
      <c r="N168" s="0" t="s">
        <v>122</v>
      </c>
    </row>
    <row r="169" customFormat="false" ht="15" hidden="false" customHeight="false" outlineLevel="0" collapsed="false">
      <c r="A169" s="0" t="s">
        <v>588</v>
      </c>
      <c r="B169" s="0" t="s">
        <v>589</v>
      </c>
      <c r="C169" s="0" t="s">
        <v>590</v>
      </c>
      <c r="D169" s="0" t="s">
        <v>65</v>
      </c>
      <c r="E169" s="0" t="s">
        <v>125</v>
      </c>
      <c r="F169" s="0" t="s">
        <v>130</v>
      </c>
      <c r="G169" s="0" t="n">
        <v>1099163</v>
      </c>
      <c r="H169" s="0" t="n">
        <v>37138</v>
      </c>
      <c r="I169" s="0" t="n">
        <v>10598</v>
      </c>
      <c r="J169" s="0" t="n">
        <v>53.5</v>
      </c>
      <c r="K169" s="0" t="n">
        <v>25</v>
      </c>
      <c r="L169" s="0" t="n">
        <v>697</v>
      </c>
      <c r="M169" s="0" t="s">
        <v>54</v>
      </c>
      <c r="N169" s="0" t="s">
        <v>42</v>
      </c>
    </row>
    <row r="170" customFormat="false" ht="15" hidden="false" customHeight="false" outlineLevel="0" collapsed="false">
      <c r="A170" s="0" t="s">
        <v>591</v>
      </c>
      <c r="B170" s="0" t="s">
        <v>592</v>
      </c>
      <c r="C170" s="0" t="s">
        <v>51</v>
      </c>
      <c r="D170" s="0" t="s">
        <v>109</v>
      </c>
      <c r="E170" s="0" t="s">
        <v>126</v>
      </c>
      <c r="F170" s="0" t="s">
        <v>27</v>
      </c>
      <c r="G170" s="0" t="n">
        <v>1081277</v>
      </c>
      <c r="H170" s="0" t="n">
        <v>28282</v>
      </c>
      <c r="I170" s="0" t="n">
        <v>7846</v>
      </c>
      <c r="J170" s="0" t="n">
        <v>39.7</v>
      </c>
      <c r="K170" s="0" t="n">
        <v>24</v>
      </c>
      <c r="L170" s="0" t="n">
        <v>312</v>
      </c>
      <c r="M170" s="0" t="s">
        <v>35</v>
      </c>
      <c r="N170" s="0" t="s">
        <v>102</v>
      </c>
    </row>
    <row r="171" customFormat="false" ht="15" hidden="false" customHeight="false" outlineLevel="0" collapsed="false">
      <c r="A171" s="0" t="s">
        <v>593</v>
      </c>
      <c r="B171" s="0" t="s">
        <v>594</v>
      </c>
      <c r="C171" s="0" t="s">
        <v>595</v>
      </c>
      <c r="D171" s="0" t="s">
        <v>17</v>
      </c>
      <c r="E171" s="0" t="s">
        <v>18</v>
      </c>
      <c r="F171" s="0" t="s">
        <v>19</v>
      </c>
      <c r="G171" s="0" t="n">
        <v>1874360</v>
      </c>
      <c r="H171" s="0" t="n">
        <v>47846</v>
      </c>
      <c r="I171" s="0" t="n">
        <v>13042</v>
      </c>
      <c r="J171" s="0" t="n">
        <v>37.5</v>
      </c>
      <c r="K171" s="0" t="n">
        <v>5</v>
      </c>
      <c r="L171" s="0" t="n">
        <v>406</v>
      </c>
      <c r="M171" s="0" t="s">
        <v>20</v>
      </c>
      <c r="N171" s="0" t="s">
        <v>74</v>
      </c>
    </row>
    <row r="172" customFormat="false" ht="15" hidden="false" customHeight="false" outlineLevel="0" collapsed="false">
      <c r="A172" s="0" t="s">
        <v>596</v>
      </c>
      <c r="B172" s="0" t="s">
        <v>282</v>
      </c>
      <c r="C172" s="0" t="s">
        <v>597</v>
      </c>
      <c r="D172" s="0" t="s">
        <v>109</v>
      </c>
      <c r="E172" s="0" t="s">
        <v>346</v>
      </c>
      <c r="F172" s="0" t="s">
        <v>110</v>
      </c>
      <c r="G172" s="0" t="n">
        <v>999257</v>
      </c>
      <c r="H172" s="0" t="n">
        <v>33751</v>
      </c>
      <c r="I172" s="0" t="n">
        <v>8004</v>
      </c>
      <c r="J172" s="0" t="n">
        <v>16.1</v>
      </c>
      <c r="K172" s="0" t="n">
        <v>7</v>
      </c>
      <c r="L172" s="0" t="n">
        <v>684</v>
      </c>
      <c r="M172" s="0" t="s">
        <v>54</v>
      </c>
      <c r="N172" s="0" t="s">
        <v>96</v>
      </c>
    </row>
    <row r="173" customFormat="false" ht="15" hidden="false" customHeight="false" outlineLevel="0" collapsed="false">
      <c r="A173" s="0" t="s">
        <v>598</v>
      </c>
      <c r="B173" s="0" t="s">
        <v>599</v>
      </c>
      <c r="C173" s="0" t="s">
        <v>356</v>
      </c>
      <c r="D173" s="0" t="s">
        <v>144</v>
      </c>
      <c r="E173" s="0" t="s">
        <v>209</v>
      </c>
      <c r="F173" s="0" t="s">
        <v>457</v>
      </c>
      <c r="G173" s="0" t="n">
        <v>2659544</v>
      </c>
      <c r="H173" s="0" t="n">
        <v>58977</v>
      </c>
      <c r="I173" s="0" t="n">
        <v>16434</v>
      </c>
      <c r="J173" s="0" t="n">
        <v>56.4</v>
      </c>
      <c r="K173" s="0" t="n">
        <v>10</v>
      </c>
      <c r="L173" s="0" t="n">
        <v>538</v>
      </c>
      <c r="M173" s="0" t="s">
        <v>54</v>
      </c>
      <c r="N173" s="0" t="s">
        <v>42</v>
      </c>
    </row>
    <row r="174" customFormat="false" ht="15" hidden="false" customHeight="false" outlineLevel="0" collapsed="false">
      <c r="A174" s="0" t="s">
        <v>600</v>
      </c>
      <c r="B174" s="0" t="s">
        <v>601</v>
      </c>
      <c r="C174" s="0" t="s">
        <v>317</v>
      </c>
      <c r="D174" s="0" t="s">
        <v>144</v>
      </c>
      <c r="E174" s="0" t="s">
        <v>289</v>
      </c>
      <c r="F174" s="0" t="s">
        <v>314</v>
      </c>
      <c r="G174" s="0" t="n">
        <v>2154054</v>
      </c>
      <c r="H174" s="0" t="n">
        <v>46347</v>
      </c>
      <c r="I174" s="0" t="n">
        <v>11287</v>
      </c>
      <c r="J174" s="0" t="n">
        <v>3.8</v>
      </c>
      <c r="K174" s="0" t="n">
        <v>15</v>
      </c>
      <c r="L174" s="0" t="n">
        <v>563</v>
      </c>
      <c r="M174" s="0" t="s">
        <v>20</v>
      </c>
      <c r="N174" s="0" t="s">
        <v>122</v>
      </c>
    </row>
    <row r="175" customFormat="false" ht="15" hidden="false" customHeight="false" outlineLevel="0" collapsed="false">
      <c r="A175" s="0" t="s">
        <v>602</v>
      </c>
      <c r="B175" s="0" t="s">
        <v>603</v>
      </c>
      <c r="C175" s="0" t="s">
        <v>298</v>
      </c>
      <c r="D175" s="0" t="s">
        <v>89</v>
      </c>
      <c r="E175" s="0" t="s">
        <v>153</v>
      </c>
      <c r="F175" s="0" t="s">
        <v>544</v>
      </c>
      <c r="G175" s="0" t="n">
        <v>1108264</v>
      </c>
      <c r="H175" s="0" t="n">
        <v>26041</v>
      </c>
      <c r="I175" s="0" t="n">
        <v>8028</v>
      </c>
      <c r="J175" s="0" t="n">
        <v>21.3</v>
      </c>
      <c r="K175" s="0" t="n">
        <v>10</v>
      </c>
      <c r="L175" s="0" t="n">
        <v>460</v>
      </c>
      <c r="M175" s="0" t="s">
        <v>20</v>
      </c>
      <c r="N175" s="0" t="s">
        <v>169</v>
      </c>
    </row>
    <row r="176" customFormat="false" ht="15" hidden="false" customHeight="false" outlineLevel="0" collapsed="false">
      <c r="A176" s="0" t="s">
        <v>604</v>
      </c>
      <c r="B176" s="0" t="s">
        <v>188</v>
      </c>
      <c r="C176" s="0" t="s">
        <v>298</v>
      </c>
      <c r="D176" s="0" t="s">
        <v>109</v>
      </c>
      <c r="E176" s="0" t="s">
        <v>379</v>
      </c>
      <c r="F176" s="0" t="s">
        <v>372</v>
      </c>
      <c r="G176" s="0" t="n">
        <v>1767633</v>
      </c>
      <c r="H176" s="0" t="n">
        <v>47698</v>
      </c>
      <c r="I176" s="0" t="n">
        <v>10273</v>
      </c>
      <c r="J176" s="0" t="n">
        <v>8.4</v>
      </c>
      <c r="K176" s="0" t="n">
        <v>10</v>
      </c>
      <c r="L176" s="0" t="n">
        <v>592</v>
      </c>
      <c r="M176" s="0" t="s">
        <v>54</v>
      </c>
      <c r="N176" s="0" t="s">
        <v>42</v>
      </c>
    </row>
    <row r="177" customFormat="false" ht="15" hidden="false" customHeight="false" outlineLevel="0" collapsed="false">
      <c r="A177" s="0" t="s">
        <v>605</v>
      </c>
      <c r="B177" s="0" t="s">
        <v>606</v>
      </c>
      <c r="C177" s="0" t="s">
        <v>172</v>
      </c>
      <c r="D177" s="0" t="s">
        <v>65</v>
      </c>
      <c r="E177" s="0" t="s">
        <v>224</v>
      </c>
      <c r="F177" s="0" t="s">
        <v>321</v>
      </c>
      <c r="G177" s="0" t="n">
        <v>2177463</v>
      </c>
      <c r="H177" s="0" t="n">
        <v>76366</v>
      </c>
      <c r="I177" s="0" t="n">
        <v>19089</v>
      </c>
      <c r="J177" s="0" t="n">
        <v>32.4</v>
      </c>
      <c r="K177" s="0" t="n">
        <v>13</v>
      </c>
      <c r="L177" s="0" t="n">
        <v>371</v>
      </c>
      <c r="M177" s="0" t="s">
        <v>20</v>
      </c>
      <c r="N177" s="0" t="s">
        <v>67</v>
      </c>
    </row>
    <row r="178" customFormat="false" ht="15" hidden="false" customHeight="false" outlineLevel="0" collapsed="false">
      <c r="A178" s="0" t="s">
        <v>607</v>
      </c>
      <c r="B178" s="0" t="s">
        <v>608</v>
      </c>
      <c r="C178" s="0" t="s">
        <v>371</v>
      </c>
      <c r="D178" s="0" t="s">
        <v>59</v>
      </c>
      <c r="E178" s="0" t="s">
        <v>19</v>
      </c>
      <c r="F178" s="0" t="s">
        <v>299</v>
      </c>
      <c r="G178" s="0" t="n">
        <v>4034242</v>
      </c>
      <c r="H178" s="0" t="n">
        <v>173190</v>
      </c>
      <c r="I178" s="0" t="n">
        <v>38811</v>
      </c>
      <c r="J178" s="0" t="n">
        <v>22.4</v>
      </c>
      <c r="K178" s="0" t="n">
        <v>17</v>
      </c>
      <c r="L178" s="0" t="n">
        <v>181</v>
      </c>
      <c r="M178" s="0" t="s">
        <v>20</v>
      </c>
      <c r="N178" s="0" t="s">
        <v>169</v>
      </c>
    </row>
    <row r="179" customFormat="false" ht="15" hidden="false" customHeight="false" outlineLevel="0" collapsed="false">
      <c r="A179" s="0" t="s">
        <v>609</v>
      </c>
      <c r="B179" s="0" t="s">
        <v>610</v>
      </c>
      <c r="C179" s="0" t="s">
        <v>611</v>
      </c>
      <c r="D179" s="0" t="s">
        <v>109</v>
      </c>
      <c r="E179" s="0" t="s">
        <v>340</v>
      </c>
      <c r="F179" s="0" t="s">
        <v>106</v>
      </c>
      <c r="G179" s="0" t="n">
        <v>2035132</v>
      </c>
      <c r="H179" s="0" t="n">
        <v>78442</v>
      </c>
      <c r="I179" s="0" t="n">
        <v>22461</v>
      </c>
      <c r="J179" s="0" t="n">
        <v>34.8</v>
      </c>
      <c r="K179" s="0" t="n">
        <v>7</v>
      </c>
      <c r="L179" s="0" t="n">
        <v>373</v>
      </c>
      <c r="M179" s="0" t="s">
        <v>54</v>
      </c>
      <c r="N179" s="0" t="s">
        <v>55</v>
      </c>
    </row>
    <row r="180" customFormat="false" ht="15" hidden="false" customHeight="false" outlineLevel="0" collapsed="false">
      <c r="A180" s="0" t="s">
        <v>612</v>
      </c>
      <c r="B180" s="0" t="s">
        <v>613</v>
      </c>
      <c r="C180" s="0" t="s">
        <v>84</v>
      </c>
      <c r="D180" s="0" t="s">
        <v>46</v>
      </c>
      <c r="E180" s="0" t="s">
        <v>321</v>
      </c>
      <c r="F180" s="0" t="s">
        <v>273</v>
      </c>
      <c r="G180" s="0" t="n">
        <v>1530634</v>
      </c>
      <c r="H180" s="0" t="n">
        <v>43999</v>
      </c>
      <c r="I180" s="0" t="n">
        <v>11948</v>
      </c>
      <c r="J180" s="0" t="n">
        <v>59.6</v>
      </c>
      <c r="K180" s="0" t="n">
        <v>21</v>
      </c>
      <c r="L180" s="0" t="n">
        <v>671</v>
      </c>
      <c r="M180" s="0" t="s">
        <v>54</v>
      </c>
      <c r="N180" s="0" t="s">
        <v>21</v>
      </c>
    </row>
    <row r="181" customFormat="false" ht="15" hidden="false" customHeight="false" outlineLevel="0" collapsed="false">
      <c r="A181" s="0" t="s">
        <v>614</v>
      </c>
      <c r="B181" s="0" t="s">
        <v>615</v>
      </c>
      <c r="C181" s="0" t="s">
        <v>232</v>
      </c>
      <c r="D181" s="0" t="s">
        <v>109</v>
      </c>
      <c r="E181" s="0" t="s">
        <v>61</v>
      </c>
      <c r="F181" s="0" t="s">
        <v>66</v>
      </c>
      <c r="G181" s="0" t="n">
        <v>1803797</v>
      </c>
      <c r="H181" s="0" t="n">
        <v>45089</v>
      </c>
      <c r="I181" s="0" t="n">
        <v>15603</v>
      </c>
      <c r="J181" s="0" t="n">
        <v>32.1</v>
      </c>
      <c r="K181" s="0" t="n">
        <v>16</v>
      </c>
      <c r="L181" s="0" t="n">
        <v>485</v>
      </c>
      <c r="M181" s="0" t="s">
        <v>35</v>
      </c>
      <c r="N181" s="0" t="s">
        <v>102</v>
      </c>
    </row>
    <row r="182" customFormat="false" ht="15" hidden="false" customHeight="false" outlineLevel="0" collapsed="false">
      <c r="A182" s="0" t="s">
        <v>616</v>
      </c>
      <c r="B182" s="0" t="s">
        <v>617</v>
      </c>
      <c r="C182" s="0" t="s">
        <v>350</v>
      </c>
      <c r="D182" s="0" t="s">
        <v>109</v>
      </c>
      <c r="E182" s="0" t="s">
        <v>425</v>
      </c>
      <c r="F182" s="0" t="s">
        <v>618</v>
      </c>
      <c r="G182" s="0" t="n">
        <v>2155212</v>
      </c>
      <c r="H182" s="0" t="n">
        <v>61152</v>
      </c>
      <c r="I182" s="0" t="n">
        <v>16374</v>
      </c>
      <c r="J182" s="0" t="n">
        <v>49.2</v>
      </c>
      <c r="K182" s="0" t="n">
        <v>13</v>
      </c>
      <c r="L182" s="0" t="n">
        <v>665</v>
      </c>
      <c r="M182" s="0" t="s">
        <v>20</v>
      </c>
      <c r="N182" s="0" t="s">
        <v>96</v>
      </c>
    </row>
    <row r="183" customFormat="false" ht="15" hidden="false" customHeight="false" outlineLevel="0" collapsed="false">
      <c r="A183" s="0" t="s">
        <v>619</v>
      </c>
      <c r="B183" s="0" t="s">
        <v>620</v>
      </c>
      <c r="C183" s="0" t="s">
        <v>180</v>
      </c>
      <c r="D183" s="0" t="s">
        <v>46</v>
      </c>
      <c r="E183" s="0" t="s">
        <v>158</v>
      </c>
      <c r="F183" s="0" t="s">
        <v>224</v>
      </c>
      <c r="G183" s="0" t="n">
        <v>1487268</v>
      </c>
      <c r="H183" s="0" t="n">
        <v>51402</v>
      </c>
      <c r="I183" s="0" t="n">
        <v>9713</v>
      </c>
      <c r="J183" s="0" t="n">
        <v>42.2</v>
      </c>
      <c r="K183" s="0" t="n">
        <v>16</v>
      </c>
      <c r="L183" s="0" t="n">
        <v>267</v>
      </c>
      <c r="M183" s="0" t="s">
        <v>54</v>
      </c>
      <c r="N183" s="0" t="s">
        <v>74</v>
      </c>
    </row>
    <row r="184" customFormat="false" ht="15" hidden="false" customHeight="false" outlineLevel="0" collapsed="false">
      <c r="A184" s="0" t="s">
        <v>621</v>
      </c>
      <c r="B184" s="0" t="s">
        <v>195</v>
      </c>
      <c r="C184" s="0" t="s">
        <v>362</v>
      </c>
      <c r="D184" s="0" t="s">
        <v>78</v>
      </c>
      <c r="E184" s="0" t="s">
        <v>198</v>
      </c>
      <c r="F184" s="0" t="s">
        <v>552</v>
      </c>
      <c r="G184" s="0" t="n">
        <v>5253731</v>
      </c>
      <c r="H184" s="0" t="n">
        <v>165922</v>
      </c>
      <c r="I184" s="0" t="n">
        <v>61838</v>
      </c>
      <c r="J184" s="0" t="n">
        <v>50</v>
      </c>
      <c r="K184" s="0" t="n">
        <v>17</v>
      </c>
      <c r="L184" s="0" t="n">
        <v>215</v>
      </c>
      <c r="M184" s="0" t="s">
        <v>20</v>
      </c>
      <c r="N184" s="0" t="s">
        <v>96</v>
      </c>
    </row>
    <row r="185" customFormat="false" ht="15" hidden="false" customHeight="false" outlineLevel="0" collapsed="false">
      <c r="A185" s="0" t="s">
        <v>622</v>
      </c>
      <c r="B185" s="0" t="s">
        <v>623</v>
      </c>
      <c r="C185" s="0" t="s">
        <v>478</v>
      </c>
      <c r="D185" s="0" t="s">
        <v>65</v>
      </c>
      <c r="E185" s="0" t="s">
        <v>418</v>
      </c>
      <c r="F185" s="0" t="s">
        <v>26</v>
      </c>
      <c r="G185" s="0" t="n">
        <v>1186426</v>
      </c>
      <c r="H185" s="0" t="n">
        <v>43534</v>
      </c>
      <c r="I185" s="0" t="n">
        <v>10615</v>
      </c>
      <c r="J185" s="0" t="n">
        <v>27.8</v>
      </c>
      <c r="K185" s="0" t="n">
        <v>21</v>
      </c>
      <c r="L185" s="0" t="n">
        <v>256</v>
      </c>
      <c r="M185" s="0" t="s">
        <v>20</v>
      </c>
      <c r="N185" s="0" t="s">
        <v>81</v>
      </c>
    </row>
    <row r="186" customFormat="false" ht="15" hidden="false" customHeight="false" outlineLevel="0" collapsed="false">
      <c r="A186" s="0" t="s">
        <v>624</v>
      </c>
      <c r="B186" s="0" t="s">
        <v>625</v>
      </c>
      <c r="C186" s="0" t="s">
        <v>626</v>
      </c>
      <c r="D186" s="0" t="s">
        <v>25</v>
      </c>
      <c r="E186" s="0" t="s">
        <v>457</v>
      </c>
      <c r="F186" s="0" t="s">
        <v>253</v>
      </c>
      <c r="G186" s="0" t="n">
        <v>4722207</v>
      </c>
      <c r="H186" s="0" t="n">
        <v>170681</v>
      </c>
      <c r="I186" s="0" t="n">
        <v>53254</v>
      </c>
      <c r="J186" s="0" t="n">
        <v>11.2</v>
      </c>
      <c r="K186" s="0" t="n">
        <v>14</v>
      </c>
      <c r="L186" s="0" t="n">
        <v>551</v>
      </c>
      <c r="M186" s="0" t="s">
        <v>35</v>
      </c>
      <c r="N186" s="0" t="s">
        <v>67</v>
      </c>
    </row>
    <row r="187" customFormat="false" ht="15" hidden="false" customHeight="false" outlineLevel="0" collapsed="false">
      <c r="A187" s="0" t="s">
        <v>627</v>
      </c>
      <c r="B187" s="0" t="s">
        <v>272</v>
      </c>
      <c r="C187" s="0" t="s">
        <v>93</v>
      </c>
      <c r="D187" s="0" t="s">
        <v>17</v>
      </c>
      <c r="E187" s="0" t="s">
        <v>33</v>
      </c>
      <c r="F187" s="0" t="s">
        <v>72</v>
      </c>
      <c r="G187" s="0" t="n">
        <v>1644413</v>
      </c>
      <c r="H187" s="0" t="n">
        <v>53625</v>
      </c>
      <c r="I187" s="0" t="n">
        <v>13323</v>
      </c>
      <c r="J187" s="0" t="n">
        <v>40.4</v>
      </c>
      <c r="K187" s="0" t="n">
        <v>19</v>
      </c>
      <c r="L187" s="0" t="n">
        <v>193</v>
      </c>
      <c r="M187" s="0" t="s">
        <v>54</v>
      </c>
      <c r="N187" s="0" t="s">
        <v>140</v>
      </c>
    </row>
    <row r="188" customFormat="false" ht="15" hidden="false" customHeight="false" outlineLevel="0" collapsed="false">
      <c r="A188" s="0" t="s">
        <v>628</v>
      </c>
      <c r="B188" s="0" t="s">
        <v>629</v>
      </c>
      <c r="C188" s="0" t="s">
        <v>630</v>
      </c>
      <c r="D188" s="0" t="s">
        <v>71</v>
      </c>
      <c r="E188" s="0" t="s">
        <v>353</v>
      </c>
      <c r="F188" s="0" t="s">
        <v>101</v>
      </c>
      <c r="G188" s="0" t="n">
        <v>965974</v>
      </c>
      <c r="H188" s="0" t="n">
        <v>22797</v>
      </c>
      <c r="I188" s="0" t="n">
        <v>8259</v>
      </c>
      <c r="J188" s="0" t="n">
        <v>54.4</v>
      </c>
      <c r="K188" s="0" t="n">
        <v>18</v>
      </c>
      <c r="L188" s="0" t="n">
        <v>739</v>
      </c>
      <c r="M188" s="0" t="s">
        <v>20</v>
      </c>
      <c r="N188" s="0" t="s">
        <v>28</v>
      </c>
    </row>
    <row r="189" customFormat="false" ht="15" hidden="false" customHeight="false" outlineLevel="0" collapsed="false">
      <c r="A189" s="0" t="s">
        <v>631</v>
      </c>
      <c r="B189" s="0" t="s">
        <v>632</v>
      </c>
      <c r="C189" s="0" t="s">
        <v>633</v>
      </c>
      <c r="D189" s="0" t="s">
        <v>25</v>
      </c>
      <c r="E189" s="0" t="s">
        <v>306</v>
      </c>
      <c r="F189" s="0" t="s">
        <v>451</v>
      </c>
      <c r="G189" s="0" t="n">
        <v>2376441</v>
      </c>
      <c r="H189" s="0" t="n">
        <v>59883</v>
      </c>
      <c r="I189" s="0" t="n">
        <v>20135</v>
      </c>
      <c r="J189" s="0" t="n">
        <v>12.7</v>
      </c>
      <c r="K189" s="0" t="n">
        <v>14</v>
      </c>
      <c r="L189" s="0" t="n">
        <v>353</v>
      </c>
      <c r="M189" s="0" t="s">
        <v>20</v>
      </c>
      <c r="N189" s="0" t="s">
        <v>55</v>
      </c>
    </row>
    <row r="190" customFormat="false" ht="15" hidden="false" customHeight="false" outlineLevel="0" collapsed="false">
      <c r="A190" s="0" t="s">
        <v>634</v>
      </c>
      <c r="B190" s="0" t="s">
        <v>635</v>
      </c>
      <c r="C190" s="0" t="s">
        <v>189</v>
      </c>
      <c r="D190" s="0" t="s">
        <v>39</v>
      </c>
      <c r="E190" s="0" t="s">
        <v>425</v>
      </c>
      <c r="F190" s="0" t="s">
        <v>41</v>
      </c>
      <c r="G190" s="0" t="n">
        <v>1554587</v>
      </c>
      <c r="H190" s="0" t="n">
        <v>57320</v>
      </c>
      <c r="I190" s="0" t="n">
        <v>20554</v>
      </c>
      <c r="J190" s="0" t="n">
        <v>6</v>
      </c>
      <c r="K190" s="0" t="n">
        <v>25</v>
      </c>
      <c r="L190" s="0" t="n">
        <v>668</v>
      </c>
      <c r="M190" s="0" t="s">
        <v>54</v>
      </c>
      <c r="N190" s="0" t="s">
        <v>67</v>
      </c>
    </row>
    <row r="191" customFormat="false" ht="15" hidden="false" customHeight="false" outlineLevel="0" collapsed="false">
      <c r="A191" s="0" t="s">
        <v>636</v>
      </c>
      <c r="B191" s="0" t="s">
        <v>637</v>
      </c>
      <c r="C191" s="0" t="s">
        <v>638</v>
      </c>
      <c r="D191" s="0" t="s">
        <v>32</v>
      </c>
      <c r="E191" s="0" t="s">
        <v>95</v>
      </c>
      <c r="F191" s="0" t="s">
        <v>618</v>
      </c>
      <c r="G191" s="0" t="n">
        <v>1793594</v>
      </c>
      <c r="H191" s="0" t="n">
        <v>71245</v>
      </c>
      <c r="I191" s="0" t="n">
        <v>17086</v>
      </c>
      <c r="J191" s="0" t="n">
        <v>12.9</v>
      </c>
      <c r="K191" s="0" t="n">
        <v>5</v>
      </c>
      <c r="L191" s="0" t="n">
        <v>590</v>
      </c>
      <c r="M191" s="0" t="s">
        <v>20</v>
      </c>
      <c r="N191" s="0" t="s">
        <v>96</v>
      </c>
    </row>
    <row r="192" customFormat="false" ht="15" hidden="false" customHeight="false" outlineLevel="0" collapsed="false">
      <c r="A192" s="0" t="s">
        <v>639</v>
      </c>
      <c r="B192" s="0" t="s">
        <v>640</v>
      </c>
      <c r="C192" s="0" t="s">
        <v>641</v>
      </c>
      <c r="D192" s="0" t="s">
        <v>17</v>
      </c>
      <c r="E192" s="0" t="s">
        <v>305</v>
      </c>
      <c r="F192" s="0" t="s">
        <v>197</v>
      </c>
      <c r="G192" s="0" t="n">
        <v>1631096</v>
      </c>
      <c r="H192" s="0" t="n">
        <v>44721</v>
      </c>
      <c r="I192" s="0" t="n">
        <v>12619</v>
      </c>
      <c r="J192" s="0" t="n">
        <v>3.7</v>
      </c>
      <c r="K192" s="0" t="n">
        <v>6</v>
      </c>
      <c r="L192" s="0" t="n">
        <v>612</v>
      </c>
      <c r="M192" s="0" t="s">
        <v>20</v>
      </c>
      <c r="N192" s="0" t="s">
        <v>169</v>
      </c>
    </row>
    <row r="193" customFormat="false" ht="15" hidden="false" customHeight="false" outlineLevel="0" collapsed="false">
      <c r="A193" s="0" t="s">
        <v>642</v>
      </c>
      <c r="B193" s="0" t="s">
        <v>643</v>
      </c>
      <c r="C193" s="0" t="s">
        <v>345</v>
      </c>
      <c r="D193" s="0" t="s">
        <v>59</v>
      </c>
      <c r="E193" s="0" t="s">
        <v>60</v>
      </c>
      <c r="F193" s="0" t="s">
        <v>273</v>
      </c>
      <c r="G193" s="0" t="n">
        <v>2559851</v>
      </c>
      <c r="H193" s="0" t="n">
        <v>126536</v>
      </c>
      <c r="I193" s="0" t="n">
        <v>39852</v>
      </c>
      <c r="J193" s="0" t="n">
        <v>19.4</v>
      </c>
      <c r="K193" s="0" t="n">
        <v>11</v>
      </c>
      <c r="L193" s="0" t="n">
        <v>468</v>
      </c>
      <c r="M193" s="0" t="s">
        <v>35</v>
      </c>
      <c r="N193" s="0" t="s">
        <v>81</v>
      </c>
    </row>
    <row r="194" customFormat="false" ht="15" hidden="false" customHeight="false" outlineLevel="0" collapsed="false">
      <c r="A194" s="0" t="s">
        <v>644</v>
      </c>
      <c r="B194" s="0" t="s">
        <v>645</v>
      </c>
      <c r="C194" s="0" t="s">
        <v>410</v>
      </c>
      <c r="D194" s="0" t="s">
        <v>25</v>
      </c>
      <c r="E194" s="0" t="s">
        <v>357</v>
      </c>
      <c r="F194" s="0" t="s">
        <v>270</v>
      </c>
      <c r="G194" s="0" t="n">
        <v>3071709</v>
      </c>
      <c r="H194" s="0" t="n">
        <v>93713</v>
      </c>
      <c r="I194" s="0" t="n">
        <v>23594</v>
      </c>
      <c r="J194" s="0" t="n">
        <v>17.7</v>
      </c>
      <c r="K194" s="0" t="n">
        <v>21</v>
      </c>
      <c r="L194" s="0" t="n">
        <v>527</v>
      </c>
      <c r="M194" s="0" t="s">
        <v>54</v>
      </c>
      <c r="N194" s="0" t="s">
        <v>96</v>
      </c>
    </row>
    <row r="195" customFormat="false" ht="15" hidden="false" customHeight="false" outlineLevel="0" collapsed="false">
      <c r="A195" s="0" t="s">
        <v>646</v>
      </c>
      <c r="B195" s="0" t="s">
        <v>647</v>
      </c>
      <c r="C195" s="0" t="s">
        <v>208</v>
      </c>
      <c r="D195" s="0" t="s">
        <v>59</v>
      </c>
      <c r="E195" s="0" t="s">
        <v>252</v>
      </c>
      <c r="F195" s="0" t="s">
        <v>648</v>
      </c>
      <c r="G195" s="0" t="n">
        <v>3391644</v>
      </c>
      <c r="H195" s="0" t="n">
        <v>152261</v>
      </c>
      <c r="I195" s="0" t="n">
        <v>47009</v>
      </c>
      <c r="J195" s="0" t="n">
        <v>55.7</v>
      </c>
      <c r="K195" s="0" t="n">
        <v>9</v>
      </c>
      <c r="L195" s="0" t="n">
        <v>187</v>
      </c>
      <c r="M195" s="0" t="s">
        <v>20</v>
      </c>
      <c r="N195" s="0" t="s">
        <v>55</v>
      </c>
    </row>
    <row r="196" customFormat="false" ht="15" hidden="false" customHeight="false" outlineLevel="0" collapsed="false">
      <c r="A196" s="0" t="s">
        <v>649</v>
      </c>
      <c r="B196" s="0" t="s">
        <v>650</v>
      </c>
      <c r="C196" s="0" t="s">
        <v>572</v>
      </c>
      <c r="D196" s="0" t="s">
        <v>32</v>
      </c>
      <c r="E196" s="0" t="s">
        <v>339</v>
      </c>
      <c r="F196" s="0" t="s">
        <v>72</v>
      </c>
      <c r="G196" s="0" t="n">
        <v>5638278</v>
      </c>
      <c r="H196" s="0" t="n">
        <v>265596</v>
      </c>
      <c r="I196" s="0" t="n">
        <v>84663</v>
      </c>
      <c r="J196" s="0" t="n">
        <v>59.9</v>
      </c>
      <c r="K196" s="0" t="n">
        <v>10</v>
      </c>
      <c r="L196" s="0" t="n">
        <v>752</v>
      </c>
      <c r="M196" s="0" t="s">
        <v>54</v>
      </c>
      <c r="N196" s="0" t="s">
        <v>55</v>
      </c>
    </row>
    <row r="197" customFormat="false" ht="15" hidden="false" customHeight="false" outlineLevel="0" collapsed="false">
      <c r="A197" s="0" t="s">
        <v>651</v>
      </c>
      <c r="B197" s="0" t="s">
        <v>652</v>
      </c>
      <c r="C197" s="0" t="s">
        <v>478</v>
      </c>
      <c r="D197" s="0" t="s">
        <v>25</v>
      </c>
      <c r="E197" s="0" t="s">
        <v>47</v>
      </c>
      <c r="F197" s="0" t="s">
        <v>48</v>
      </c>
      <c r="G197" s="0" t="n">
        <v>2673086</v>
      </c>
      <c r="H197" s="0" t="n">
        <v>81279</v>
      </c>
      <c r="I197" s="0" t="n">
        <v>30399</v>
      </c>
      <c r="J197" s="0" t="n">
        <v>40.3</v>
      </c>
      <c r="K197" s="0" t="n">
        <v>6</v>
      </c>
      <c r="L197" s="0" t="n">
        <v>708</v>
      </c>
      <c r="M197" s="0" t="s">
        <v>20</v>
      </c>
      <c r="N197" s="0" t="s">
        <v>67</v>
      </c>
    </row>
    <row r="198" customFormat="false" ht="15" hidden="false" customHeight="false" outlineLevel="0" collapsed="false">
      <c r="A198" s="0" t="s">
        <v>653</v>
      </c>
      <c r="B198" s="0" t="s">
        <v>654</v>
      </c>
      <c r="C198" s="0" t="s">
        <v>31</v>
      </c>
      <c r="D198" s="0" t="s">
        <v>109</v>
      </c>
      <c r="E198" s="0" t="s">
        <v>310</v>
      </c>
      <c r="F198" s="0" t="s">
        <v>125</v>
      </c>
      <c r="G198" s="0" t="n">
        <v>2028235</v>
      </c>
      <c r="H198" s="0" t="n">
        <v>72378</v>
      </c>
      <c r="I198" s="0" t="n">
        <v>25220</v>
      </c>
      <c r="J198" s="0" t="n">
        <v>12.2</v>
      </c>
      <c r="K198" s="0" t="n">
        <v>17</v>
      </c>
      <c r="L198" s="0" t="n">
        <v>214</v>
      </c>
      <c r="M198" s="0" t="s">
        <v>54</v>
      </c>
      <c r="N198" s="0" t="s">
        <v>21</v>
      </c>
    </row>
    <row r="199" customFormat="false" ht="15" hidden="false" customHeight="false" outlineLevel="0" collapsed="false">
      <c r="A199" s="0" t="s">
        <v>655</v>
      </c>
      <c r="B199" s="0" t="s">
        <v>656</v>
      </c>
      <c r="C199" s="0" t="s">
        <v>510</v>
      </c>
      <c r="D199" s="0" t="s">
        <v>17</v>
      </c>
      <c r="E199" s="0" t="s">
        <v>558</v>
      </c>
      <c r="F199" s="0" t="s">
        <v>186</v>
      </c>
      <c r="G199" s="0" t="n">
        <v>3114413</v>
      </c>
      <c r="H199" s="0" t="n">
        <v>82237</v>
      </c>
      <c r="I199" s="0" t="n">
        <v>23246</v>
      </c>
      <c r="J199" s="0" t="n">
        <v>49.5</v>
      </c>
      <c r="K199" s="0" t="n">
        <v>14</v>
      </c>
      <c r="L199" s="0" t="n">
        <v>583</v>
      </c>
      <c r="M199" s="0" t="s">
        <v>20</v>
      </c>
      <c r="N199" s="0" t="s">
        <v>102</v>
      </c>
    </row>
    <row r="200" customFormat="false" ht="15" hidden="false" customHeight="false" outlineLevel="0" collapsed="false">
      <c r="A200" s="0" t="s">
        <v>657</v>
      </c>
      <c r="B200" s="0" t="s">
        <v>658</v>
      </c>
      <c r="C200" s="0" t="s">
        <v>430</v>
      </c>
      <c r="D200" s="0" t="s">
        <v>46</v>
      </c>
      <c r="E200" s="0" t="s">
        <v>106</v>
      </c>
      <c r="F200" s="0" t="s">
        <v>126</v>
      </c>
      <c r="G200" s="0" t="n">
        <v>2724965</v>
      </c>
      <c r="H200" s="0" t="n">
        <v>93172</v>
      </c>
      <c r="I200" s="0" t="n">
        <v>27717</v>
      </c>
      <c r="J200" s="0" t="n">
        <v>42.6</v>
      </c>
      <c r="K200" s="0" t="n">
        <v>18</v>
      </c>
      <c r="L200" s="0" t="n">
        <v>638</v>
      </c>
      <c r="M200" s="0" t="s">
        <v>20</v>
      </c>
      <c r="N200" s="0" t="s">
        <v>55</v>
      </c>
    </row>
    <row r="201" customFormat="false" ht="15" hidden="false" customHeight="false" outlineLevel="0" collapsed="false">
      <c r="A201" s="0" t="s">
        <v>659</v>
      </c>
      <c r="B201" s="0" t="s">
        <v>660</v>
      </c>
      <c r="C201" s="0" t="s">
        <v>661</v>
      </c>
      <c r="D201" s="0" t="s">
        <v>65</v>
      </c>
      <c r="E201" s="0" t="s">
        <v>120</v>
      </c>
      <c r="F201" s="0" t="s">
        <v>253</v>
      </c>
      <c r="G201" s="0" t="n">
        <v>1439419</v>
      </c>
      <c r="H201" s="0" t="n">
        <v>52912</v>
      </c>
      <c r="I201" s="0" t="n">
        <v>13697</v>
      </c>
      <c r="J201" s="0" t="n">
        <v>8</v>
      </c>
      <c r="K201" s="0" t="n">
        <v>12</v>
      </c>
      <c r="L201" s="0" t="n">
        <v>209</v>
      </c>
      <c r="M201" s="0" t="s">
        <v>20</v>
      </c>
      <c r="N201" s="0" t="s">
        <v>81</v>
      </c>
    </row>
    <row r="202" customFormat="false" ht="15" hidden="false" customHeight="false" outlineLevel="0" collapsed="false">
      <c r="A202" s="0" t="s">
        <v>662</v>
      </c>
      <c r="B202" s="0" t="s">
        <v>663</v>
      </c>
      <c r="C202" s="0" t="s">
        <v>152</v>
      </c>
      <c r="D202" s="0" t="s">
        <v>32</v>
      </c>
      <c r="E202" s="0" t="s">
        <v>310</v>
      </c>
      <c r="F202" s="0" t="s">
        <v>213</v>
      </c>
      <c r="G202" s="0" t="n">
        <v>3332018</v>
      </c>
      <c r="H202" s="0" t="n">
        <v>99900</v>
      </c>
      <c r="I202" s="0" t="n">
        <v>36555</v>
      </c>
      <c r="J202" s="0" t="n">
        <v>5.9</v>
      </c>
      <c r="K202" s="0" t="n">
        <v>11</v>
      </c>
      <c r="L202" s="0" t="n">
        <v>256</v>
      </c>
      <c r="M202" s="0" t="s">
        <v>20</v>
      </c>
      <c r="N202" s="0" t="s">
        <v>169</v>
      </c>
    </row>
    <row r="203" customFormat="false" ht="15" hidden="false" customHeight="false" outlineLevel="0" collapsed="false">
      <c r="A203" s="0" t="s">
        <v>664</v>
      </c>
      <c r="B203" s="0" t="s">
        <v>665</v>
      </c>
      <c r="C203" s="0" t="s">
        <v>371</v>
      </c>
      <c r="D203" s="0" t="s">
        <v>46</v>
      </c>
      <c r="E203" s="0" t="s">
        <v>666</v>
      </c>
      <c r="F203" s="0" t="s">
        <v>181</v>
      </c>
      <c r="G203" s="0" t="n">
        <v>2919326</v>
      </c>
      <c r="H203" s="0" t="n">
        <v>102429</v>
      </c>
      <c r="I203" s="0" t="n">
        <v>23168</v>
      </c>
      <c r="J203" s="0" t="n">
        <v>49.1</v>
      </c>
      <c r="K203" s="0" t="n">
        <v>14</v>
      </c>
      <c r="L203" s="0" t="n">
        <v>584</v>
      </c>
      <c r="M203" s="0" t="s">
        <v>20</v>
      </c>
      <c r="N203" s="0" t="s">
        <v>28</v>
      </c>
    </row>
    <row r="204" customFormat="false" ht="15" hidden="false" customHeight="false" outlineLevel="0" collapsed="false">
      <c r="A204" s="0" t="s">
        <v>667</v>
      </c>
      <c r="B204" s="0" t="s">
        <v>668</v>
      </c>
      <c r="C204" s="0" t="s">
        <v>669</v>
      </c>
      <c r="D204" s="0" t="s">
        <v>39</v>
      </c>
      <c r="E204" s="0" t="s">
        <v>335</v>
      </c>
      <c r="F204" s="0" t="s">
        <v>305</v>
      </c>
      <c r="G204" s="0" t="n">
        <v>1523245</v>
      </c>
      <c r="H204" s="0" t="n">
        <v>63787</v>
      </c>
      <c r="I204" s="0" t="n">
        <v>21391</v>
      </c>
      <c r="J204" s="0" t="n">
        <v>37.8</v>
      </c>
      <c r="K204" s="0" t="n">
        <v>14</v>
      </c>
      <c r="L204" s="0" t="n">
        <v>184</v>
      </c>
      <c r="M204" s="0" t="s">
        <v>54</v>
      </c>
      <c r="N204" s="0" t="s">
        <v>28</v>
      </c>
    </row>
    <row r="205" customFormat="false" ht="15" hidden="false" customHeight="false" outlineLevel="0" collapsed="false">
      <c r="A205" s="0" t="s">
        <v>670</v>
      </c>
      <c r="B205" s="0" t="s">
        <v>671</v>
      </c>
      <c r="C205" s="0" t="s">
        <v>371</v>
      </c>
      <c r="D205" s="0" t="s">
        <v>46</v>
      </c>
      <c r="E205" s="0" t="s">
        <v>186</v>
      </c>
      <c r="F205" s="0" t="s">
        <v>252</v>
      </c>
      <c r="G205" s="0" t="n">
        <v>2577695</v>
      </c>
      <c r="H205" s="0" t="n">
        <v>64085</v>
      </c>
      <c r="I205" s="0" t="n">
        <v>21442</v>
      </c>
      <c r="J205" s="0" t="n">
        <v>18.4</v>
      </c>
      <c r="K205" s="0" t="n">
        <v>15</v>
      </c>
      <c r="L205" s="0" t="n">
        <v>208</v>
      </c>
      <c r="M205" s="0" t="s">
        <v>20</v>
      </c>
      <c r="N205" s="0" t="s">
        <v>102</v>
      </c>
    </row>
    <row r="206" customFormat="false" ht="15" hidden="false" customHeight="false" outlineLevel="0" collapsed="false">
      <c r="A206" s="0" t="s">
        <v>672</v>
      </c>
      <c r="B206" s="0" t="s">
        <v>673</v>
      </c>
      <c r="C206" s="0" t="s">
        <v>549</v>
      </c>
      <c r="D206" s="0" t="s">
        <v>89</v>
      </c>
      <c r="E206" s="0" t="s">
        <v>100</v>
      </c>
      <c r="F206" s="0" t="s">
        <v>353</v>
      </c>
      <c r="G206" s="0" t="n">
        <v>1462884</v>
      </c>
      <c r="H206" s="0" t="n">
        <v>35117</v>
      </c>
      <c r="I206" s="0" t="n">
        <v>12702</v>
      </c>
      <c r="J206" s="0" t="n">
        <v>19.7</v>
      </c>
      <c r="K206" s="0" t="n">
        <v>20</v>
      </c>
      <c r="L206" s="0" t="n">
        <v>567</v>
      </c>
      <c r="M206" s="0" t="s">
        <v>54</v>
      </c>
      <c r="N206" s="0" t="s">
        <v>140</v>
      </c>
    </row>
    <row r="207" customFormat="false" ht="15" hidden="false" customHeight="false" outlineLevel="0" collapsed="false">
      <c r="A207" s="0" t="s">
        <v>674</v>
      </c>
      <c r="B207" s="0" t="s">
        <v>551</v>
      </c>
      <c r="C207" s="0" t="s">
        <v>157</v>
      </c>
      <c r="D207" s="0" t="s">
        <v>78</v>
      </c>
      <c r="E207" s="0" t="s">
        <v>153</v>
      </c>
      <c r="F207" s="0" t="s">
        <v>675</v>
      </c>
      <c r="G207" s="0" t="n">
        <v>4232118</v>
      </c>
      <c r="H207" s="0" t="n">
        <v>149198</v>
      </c>
      <c r="I207" s="0" t="n">
        <v>51440</v>
      </c>
      <c r="J207" s="0" t="n">
        <v>50.1</v>
      </c>
      <c r="K207" s="0" t="n">
        <v>23</v>
      </c>
      <c r="L207" s="0" t="n">
        <v>733</v>
      </c>
      <c r="M207" s="0" t="s">
        <v>20</v>
      </c>
      <c r="N207" s="0" t="s">
        <v>81</v>
      </c>
    </row>
    <row r="208" customFormat="false" ht="15" hidden="false" customHeight="false" outlineLevel="0" collapsed="false">
      <c r="A208" s="0" t="s">
        <v>676</v>
      </c>
      <c r="B208" s="0" t="s">
        <v>677</v>
      </c>
      <c r="C208" s="0" t="s">
        <v>317</v>
      </c>
      <c r="D208" s="0" t="s">
        <v>39</v>
      </c>
      <c r="E208" s="0" t="s">
        <v>357</v>
      </c>
      <c r="F208" s="0" t="s">
        <v>269</v>
      </c>
      <c r="G208" s="0" t="n">
        <v>1700997</v>
      </c>
      <c r="H208" s="0" t="n">
        <v>88567</v>
      </c>
      <c r="I208" s="0" t="n">
        <v>24576</v>
      </c>
      <c r="J208" s="0" t="n">
        <v>52.4</v>
      </c>
      <c r="K208" s="0" t="n">
        <v>14</v>
      </c>
      <c r="L208" s="0" t="n">
        <v>784</v>
      </c>
      <c r="M208" s="0" t="s">
        <v>54</v>
      </c>
      <c r="N208" s="0" t="s">
        <v>140</v>
      </c>
    </row>
    <row r="209" customFormat="false" ht="15" hidden="false" customHeight="false" outlineLevel="0" collapsed="false">
      <c r="A209" s="0" t="s">
        <v>678</v>
      </c>
      <c r="B209" s="0" t="s">
        <v>308</v>
      </c>
      <c r="C209" s="0" t="s">
        <v>24</v>
      </c>
      <c r="D209" s="0" t="s">
        <v>65</v>
      </c>
      <c r="E209" s="0" t="s">
        <v>679</v>
      </c>
      <c r="F209" s="0" t="s">
        <v>265</v>
      </c>
      <c r="G209" s="0" t="n">
        <v>1490987</v>
      </c>
      <c r="H209" s="0" t="n">
        <v>42577</v>
      </c>
      <c r="I209" s="0" t="n">
        <v>13843</v>
      </c>
      <c r="J209" s="0" t="n">
        <v>32.1</v>
      </c>
      <c r="K209" s="0" t="n">
        <v>16</v>
      </c>
      <c r="L209" s="0" t="n">
        <v>627</v>
      </c>
      <c r="M209" s="0" t="s">
        <v>54</v>
      </c>
      <c r="N209" s="0" t="s">
        <v>96</v>
      </c>
    </row>
    <row r="210" customFormat="false" ht="15" hidden="false" customHeight="false" outlineLevel="0" collapsed="false">
      <c r="A210" s="0" t="s">
        <v>680</v>
      </c>
      <c r="B210" s="0" t="s">
        <v>104</v>
      </c>
      <c r="C210" s="0" t="s">
        <v>567</v>
      </c>
      <c r="D210" s="0" t="s">
        <v>46</v>
      </c>
      <c r="E210" s="0" t="s">
        <v>302</v>
      </c>
      <c r="F210" s="0" t="s">
        <v>40</v>
      </c>
      <c r="G210" s="0" t="n">
        <v>2244929</v>
      </c>
      <c r="H210" s="0" t="n">
        <v>73004</v>
      </c>
      <c r="I210" s="0" t="n">
        <v>19163</v>
      </c>
      <c r="J210" s="0" t="n">
        <v>51.3</v>
      </c>
      <c r="K210" s="0" t="n">
        <v>19</v>
      </c>
      <c r="L210" s="0" t="n">
        <v>499</v>
      </c>
      <c r="M210" s="0" t="s">
        <v>35</v>
      </c>
      <c r="N210" s="0" t="s">
        <v>28</v>
      </c>
    </row>
    <row r="211" customFormat="false" ht="15" hidden="false" customHeight="false" outlineLevel="0" collapsed="false">
      <c r="A211" s="0" t="s">
        <v>681</v>
      </c>
      <c r="B211" s="0" t="s">
        <v>551</v>
      </c>
      <c r="C211" s="0" t="s">
        <v>31</v>
      </c>
      <c r="D211" s="0" t="s">
        <v>78</v>
      </c>
      <c r="E211" s="0" t="s">
        <v>106</v>
      </c>
      <c r="F211" s="0" t="s">
        <v>26</v>
      </c>
      <c r="G211" s="0" t="n">
        <v>3129551</v>
      </c>
      <c r="H211" s="0" t="n">
        <v>116631</v>
      </c>
      <c r="I211" s="0" t="n">
        <v>45608</v>
      </c>
      <c r="J211" s="0" t="n">
        <v>46.3</v>
      </c>
      <c r="K211" s="0" t="n">
        <v>12</v>
      </c>
      <c r="L211" s="0" t="n">
        <v>163</v>
      </c>
      <c r="M211" s="0" t="s">
        <v>20</v>
      </c>
      <c r="N211" s="0" t="s">
        <v>28</v>
      </c>
    </row>
    <row r="212" customFormat="false" ht="15" hidden="false" customHeight="false" outlineLevel="0" collapsed="false">
      <c r="A212" s="0" t="s">
        <v>682</v>
      </c>
      <c r="B212" s="0" t="s">
        <v>683</v>
      </c>
      <c r="C212" s="0" t="s">
        <v>641</v>
      </c>
      <c r="D212" s="0" t="s">
        <v>65</v>
      </c>
      <c r="E212" s="0" t="s">
        <v>229</v>
      </c>
      <c r="F212" s="0" t="s">
        <v>224</v>
      </c>
      <c r="G212" s="0" t="n">
        <v>2463815</v>
      </c>
      <c r="H212" s="0" t="n">
        <v>93690</v>
      </c>
      <c r="I212" s="0" t="n">
        <v>25814</v>
      </c>
      <c r="J212" s="0" t="n">
        <v>8.8</v>
      </c>
      <c r="K212" s="0" t="n">
        <v>14</v>
      </c>
      <c r="L212" s="0" t="n">
        <v>675</v>
      </c>
      <c r="M212" s="0" t="s">
        <v>54</v>
      </c>
      <c r="N212" s="0" t="s">
        <v>169</v>
      </c>
    </row>
    <row r="213" customFormat="false" ht="15" hidden="false" customHeight="false" outlineLevel="0" collapsed="false">
      <c r="A213" s="0" t="s">
        <v>684</v>
      </c>
      <c r="B213" s="0" t="s">
        <v>685</v>
      </c>
      <c r="C213" s="0" t="s">
        <v>686</v>
      </c>
      <c r="D213" s="0" t="s">
        <v>65</v>
      </c>
      <c r="E213" s="0" t="s">
        <v>335</v>
      </c>
      <c r="F213" s="0" t="s">
        <v>389</v>
      </c>
      <c r="G213" s="0" t="n">
        <v>2192774</v>
      </c>
      <c r="H213" s="0" t="n">
        <v>84654</v>
      </c>
      <c r="I213" s="0" t="n">
        <v>23810</v>
      </c>
      <c r="J213" s="0" t="n">
        <v>31.4</v>
      </c>
      <c r="K213" s="0" t="n">
        <v>6</v>
      </c>
      <c r="L213" s="0" t="n">
        <v>527</v>
      </c>
      <c r="M213" s="0" t="s">
        <v>54</v>
      </c>
      <c r="N213" s="0" t="s">
        <v>122</v>
      </c>
    </row>
    <row r="214" customFormat="false" ht="15" hidden="false" customHeight="false" outlineLevel="0" collapsed="false">
      <c r="A214" s="0" t="s">
        <v>687</v>
      </c>
      <c r="B214" s="0" t="s">
        <v>688</v>
      </c>
      <c r="C214" s="0" t="s">
        <v>689</v>
      </c>
      <c r="D214" s="0" t="s">
        <v>32</v>
      </c>
      <c r="E214" s="0" t="s">
        <v>314</v>
      </c>
      <c r="F214" s="0" t="s">
        <v>248</v>
      </c>
      <c r="G214" s="0" t="n">
        <v>5597928</v>
      </c>
      <c r="H214" s="0" t="n">
        <v>206992</v>
      </c>
      <c r="I214" s="0" t="n">
        <v>62128</v>
      </c>
      <c r="J214" s="0" t="n">
        <v>18.4</v>
      </c>
      <c r="K214" s="0" t="n">
        <v>22</v>
      </c>
      <c r="L214" s="0" t="n">
        <v>559</v>
      </c>
      <c r="M214" s="0" t="s">
        <v>20</v>
      </c>
      <c r="N214" s="0" t="s">
        <v>67</v>
      </c>
    </row>
    <row r="215" customFormat="false" ht="15" hidden="false" customHeight="false" outlineLevel="0" collapsed="false">
      <c r="A215" s="0" t="s">
        <v>690</v>
      </c>
      <c r="B215" s="0" t="s">
        <v>132</v>
      </c>
      <c r="C215" s="0" t="s">
        <v>691</v>
      </c>
      <c r="D215" s="0" t="s">
        <v>39</v>
      </c>
      <c r="E215" s="0" t="s">
        <v>120</v>
      </c>
      <c r="F215" s="0" t="s">
        <v>145</v>
      </c>
      <c r="G215" s="0" t="n">
        <v>1793545</v>
      </c>
      <c r="H215" s="0" t="n">
        <v>68890</v>
      </c>
      <c r="I215" s="0" t="n">
        <v>17120</v>
      </c>
      <c r="J215" s="0" t="n">
        <v>46.5</v>
      </c>
      <c r="K215" s="0" t="n">
        <v>15</v>
      </c>
      <c r="L215" s="0" t="n">
        <v>535</v>
      </c>
      <c r="M215" s="0" t="s">
        <v>20</v>
      </c>
      <c r="N215" s="0" t="s">
        <v>96</v>
      </c>
    </row>
    <row r="216" customFormat="false" ht="15" hidden="false" customHeight="false" outlineLevel="0" collapsed="false">
      <c r="A216" s="0" t="s">
        <v>692</v>
      </c>
      <c r="B216" s="0" t="s">
        <v>693</v>
      </c>
      <c r="C216" s="0" t="s">
        <v>51</v>
      </c>
      <c r="D216" s="0" t="s">
        <v>46</v>
      </c>
      <c r="E216" s="0" t="s">
        <v>353</v>
      </c>
      <c r="F216" s="0" t="s">
        <v>79</v>
      </c>
      <c r="G216" s="0" t="n">
        <v>2394250</v>
      </c>
      <c r="H216" s="0" t="n">
        <v>67913</v>
      </c>
      <c r="I216" s="0" t="n">
        <v>15927</v>
      </c>
      <c r="J216" s="0" t="n">
        <v>37.6</v>
      </c>
      <c r="K216" s="0" t="n">
        <v>21</v>
      </c>
      <c r="L216" s="0" t="n">
        <v>644</v>
      </c>
      <c r="M216" s="0" t="s">
        <v>35</v>
      </c>
      <c r="N216" s="0" t="s">
        <v>21</v>
      </c>
    </row>
    <row r="217" customFormat="false" ht="15" hidden="false" customHeight="false" outlineLevel="0" collapsed="false">
      <c r="A217" s="0" t="s">
        <v>694</v>
      </c>
      <c r="B217" s="0" t="s">
        <v>695</v>
      </c>
      <c r="C217" s="0" t="s">
        <v>696</v>
      </c>
      <c r="D217" s="0" t="s">
        <v>46</v>
      </c>
      <c r="E217" s="0" t="s">
        <v>52</v>
      </c>
      <c r="F217" s="0" t="s">
        <v>253</v>
      </c>
      <c r="G217" s="0" t="n">
        <v>1337730</v>
      </c>
      <c r="H217" s="0" t="n">
        <v>40706</v>
      </c>
      <c r="I217" s="0" t="n">
        <v>11643</v>
      </c>
      <c r="J217" s="0" t="n">
        <v>36.2</v>
      </c>
      <c r="K217" s="0" t="n">
        <v>12</v>
      </c>
      <c r="L217" s="0" t="n">
        <v>229</v>
      </c>
      <c r="M217" s="0" t="s">
        <v>54</v>
      </c>
      <c r="N217" s="0" t="s">
        <v>21</v>
      </c>
    </row>
    <row r="218" customFormat="false" ht="15" hidden="false" customHeight="false" outlineLevel="0" collapsed="false">
      <c r="A218" s="0" t="s">
        <v>697</v>
      </c>
      <c r="B218" s="0" t="s">
        <v>556</v>
      </c>
      <c r="C218" s="0" t="s">
        <v>698</v>
      </c>
      <c r="D218" s="0" t="s">
        <v>32</v>
      </c>
      <c r="E218" s="0" t="s">
        <v>138</v>
      </c>
      <c r="F218" s="0" t="s">
        <v>675</v>
      </c>
      <c r="G218" s="0" t="n">
        <v>5497203</v>
      </c>
      <c r="H218" s="0" t="n">
        <v>166799</v>
      </c>
      <c r="I218" s="0" t="n">
        <v>56524</v>
      </c>
      <c r="J218" s="0" t="n">
        <v>7.8</v>
      </c>
      <c r="K218" s="0" t="n">
        <v>5</v>
      </c>
      <c r="L218" s="0" t="n">
        <v>693</v>
      </c>
      <c r="M218" s="0" t="s">
        <v>20</v>
      </c>
      <c r="N218" s="0" t="s">
        <v>169</v>
      </c>
    </row>
    <row r="219" customFormat="false" ht="15" hidden="false" customHeight="false" outlineLevel="0" collapsed="false">
      <c r="A219" s="0" t="s">
        <v>699</v>
      </c>
      <c r="B219" s="0" t="s">
        <v>700</v>
      </c>
      <c r="C219" s="0" t="s">
        <v>701</v>
      </c>
      <c r="D219" s="0" t="s">
        <v>32</v>
      </c>
      <c r="E219" s="0" t="s">
        <v>181</v>
      </c>
      <c r="F219" s="0" t="s">
        <v>284</v>
      </c>
      <c r="G219" s="0" t="n">
        <v>2367546</v>
      </c>
      <c r="H219" s="0" t="n">
        <v>95079</v>
      </c>
      <c r="I219" s="0" t="n">
        <v>29583</v>
      </c>
      <c r="J219" s="0" t="n">
        <v>56.4</v>
      </c>
      <c r="K219" s="0" t="n">
        <v>12</v>
      </c>
      <c r="L219" s="0" t="n">
        <v>197</v>
      </c>
      <c r="M219" s="0" t="s">
        <v>20</v>
      </c>
      <c r="N219" s="0" t="s">
        <v>28</v>
      </c>
    </row>
    <row r="220" customFormat="false" ht="15" hidden="false" customHeight="false" outlineLevel="0" collapsed="false">
      <c r="A220" s="0" t="s">
        <v>702</v>
      </c>
      <c r="B220" s="0" t="s">
        <v>337</v>
      </c>
      <c r="C220" s="0" t="s">
        <v>703</v>
      </c>
      <c r="D220" s="0" t="s">
        <v>78</v>
      </c>
      <c r="E220" s="0" t="s">
        <v>80</v>
      </c>
      <c r="F220" s="0" t="s">
        <v>145</v>
      </c>
      <c r="G220" s="0" t="n">
        <v>5165008</v>
      </c>
      <c r="H220" s="0" t="n">
        <v>159670</v>
      </c>
      <c r="I220" s="0" t="n">
        <v>57319</v>
      </c>
      <c r="J220" s="0" t="n">
        <v>22.5</v>
      </c>
      <c r="K220" s="0" t="n">
        <v>14</v>
      </c>
      <c r="L220" s="0" t="n">
        <v>656</v>
      </c>
      <c r="M220" s="0" t="s">
        <v>20</v>
      </c>
      <c r="N220" s="0" t="s">
        <v>96</v>
      </c>
    </row>
    <row r="221" customFormat="false" ht="15" hidden="false" customHeight="false" outlineLevel="0" collapsed="false">
      <c r="A221" s="0" t="s">
        <v>704</v>
      </c>
      <c r="B221" s="0" t="s">
        <v>705</v>
      </c>
      <c r="C221" s="0" t="s">
        <v>706</v>
      </c>
      <c r="D221" s="0" t="s">
        <v>39</v>
      </c>
      <c r="E221" s="0" t="s">
        <v>273</v>
      </c>
      <c r="F221" s="0" t="s">
        <v>353</v>
      </c>
      <c r="G221" s="0" t="n">
        <v>2393210</v>
      </c>
      <c r="H221" s="0" t="n">
        <v>87746</v>
      </c>
      <c r="I221" s="0" t="n">
        <v>20421</v>
      </c>
      <c r="J221" s="0" t="n">
        <v>8.4</v>
      </c>
      <c r="K221" s="0" t="n">
        <v>23</v>
      </c>
      <c r="L221" s="0" t="n">
        <v>218</v>
      </c>
      <c r="M221" s="0" t="s">
        <v>20</v>
      </c>
      <c r="N221" s="0" t="s">
        <v>55</v>
      </c>
    </row>
    <row r="222" customFormat="false" ht="15" hidden="false" customHeight="false" outlineLevel="0" collapsed="false">
      <c r="A222" s="0" t="s">
        <v>707</v>
      </c>
      <c r="B222" s="0" t="s">
        <v>668</v>
      </c>
      <c r="C222" s="0" t="s">
        <v>708</v>
      </c>
      <c r="D222" s="0" t="s">
        <v>39</v>
      </c>
      <c r="E222" s="0" t="s">
        <v>335</v>
      </c>
      <c r="F222" s="0" t="s">
        <v>116</v>
      </c>
      <c r="G222" s="0" t="n">
        <v>3288439</v>
      </c>
      <c r="H222" s="0" t="n">
        <v>130050</v>
      </c>
      <c r="I222" s="0" t="n">
        <v>29077</v>
      </c>
      <c r="J222" s="0" t="n">
        <v>27.5</v>
      </c>
      <c r="K222" s="0" t="n">
        <v>20</v>
      </c>
      <c r="L222" s="0" t="n">
        <v>686</v>
      </c>
      <c r="M222" s="0" t="s">
        <v>54</v>
      </c>
      <c r="N222" s="0" t="s">
        <v>102</v>
      </c>
    </row>
    <row r="223" customFormat="false" ht="15" hidden="false" customHeight="false" outlineLevel="0" collapsed="false">
      <c r="A223" s="0" t="s">
        <v>709</v>
      </c>
      <c r="B223" s="0" t="s">
        <v>69</v>
      </c>
      <c r="C223" s="0" t="s">
        <v>710</v>
      </c>
      <c r="D223" s="0" t="s">
        <v>71</v>
      </c>
      <c r="E223" s="0" t="s">
        <v>544</v>
      </c>
      <c r="F223" s="0" t="s">
        <v>154</v>
      </c>
      <c r="G223" s="0" t="n">
        <v>1084885</v>
      </c>
      <c r="H223" s="0" t="n">
        <v>30430</v>
      </c>
      <c r="I223" s="0" t="n">
        <v>7598</v>
      </c>
      <c r="J223" s="0" t="n">
        <v>40.7</v>
      </c>
      <c r="K223" s="0" t="n">
        <v>13</v>
      </c>
      <c r="L223" s="0" t="n">
        <v>797</v>
      </c>
      <c r="M223" s="0" t="s">
        <v>20</v>
      </c>
      <c r="N223" s="0" t="s">
        <v>96</v>
      </c>
    </row>
    <row r="224" customFormat="false" ht="15" hidden="false" customHeight="false" outlineLevel="0" collapsed="false">
      <c r="A224" s="0" t="s">
        <v>711</v>
      </c>
      <c r="B224" s="0" t="s">
        <v>517</v>
      </c>
      <c r="C224" s="0" t="s">
        <v>232</v>
      </c>
      <c r="D224" s="0" t="s">
        <v>144</v>
      </c>
      <c r="E224" s="0" t="s">
        <v>335</v>
      </c>
      <c r="F224" s="0" t="s">
        <v>248</v>
      </c>
      <c r="G224" s="0" t="n">
        <v>1654781</v>
      </c>
      <c r="H224" s="0" t="n">
        <v>39522</v>
      </c>
      <c r="I224" s="0" t="n">
        <v>10052</v>
      </c>
      <c r="J224" s="0" t="n">
        <v>58.5</v>
      </c>
      <c r="K224" s="0" t="n">
        <v>18</v>
      </c>
      <c r="L224" s="0" t="n">
        <v>180</v>
      </c>
      <c r="M224" s="0" t="s">
        <v>35</v>
      </c>
      <c r="N224" s="0" t="s">
        <v>122</v>
      </c>
    </row>
    <row r="225" customFormat="false" ht="15" hidden="false" customHeight="false" outlineLevel="0" collapsed="false">
      <c r="A225" s="0" t="s">
        <v>712</v>
      </c>
      <c r="B225" s="0" t="s">
        <v>713</v>
      </c>
      <c r="C225" s="0" t="s">
        <v>714</v>
      </c>
      <c r="D225" s="0" t="s">
        <v>39</v>
      </c>
      <c r="E225" s="0" t="s">
        <v>241</v>
      </c>
      <c r="F225" s="0" t="s">
        <v>270</v>
      </c>
      <c r="G225" s="0" t="n">
        <v>3206282</v>
      </c>
      <c r="H225" s="0" t="n">
        <v>148382</v>
      </c>
      <c r="I225" s="0" t="n">
        <v>41611</v>
      </c>
      <c r="J225" s="0" t="n">
        <v>58.1</v>
      </c>
      <c r="K225" s="0" t="n">
        <v>11</v>
      </c>
      <c r="L225" s="0" t="n">
        <v>709</v>
      </c>
      <c r="M225" s="0" t="s">
        <v>20</v>
      </c>
      <c r="N225" s="0" t="s">
        <v>42</v>
      </c>
    </row>
    <row r="226" customFormat="false" ht="15" hidden="false" customHeight="false" outlineLevel="0" collapsed="false">
      <c r="A226" s="0" t="s">
        <v>715</v>
      </c>
      <c r="B226" s="0" t="s">
        <v>716</v>
      </c>
      <c r="C226" s="0" t="s">
        <v>717</v>
      </c>
      <c r="D226" s="0" t="s">
        <v>46</v>
      </c>
      <c r="E226" s="0" t="s">
        <v>224</v>
      </c>
      <c r="F226" s="0" t="s">
        <v>85</v>
      </c>
      <c r="G226" s="0" t="n">
        <v>2876148</v>
      </c>
      <c r="H226" s="0" t="n">
        <v>76074</v>
      </c>
      <c r="I226" s="0" t="n">
        <v>26276</v>
      </c>
      <c r="J226" s="0" t="n">
        <v>4</v>
      </c>
      <c r="K226" s="0" t="n">
        <v>20</v>
      </c>
      <c r="L226" s="0" t="n">
        <v>573</v>
      </c>
      <c r="M226" s="0" t="s">
        <v>54</v>
      </c>
      <c r="N226" s="0" t="s">
        <v>42</v>
      </c>
    </row>
    <row r="227" customFormat="false" ht="15" hidden="false" customHeight="false" outlineLevel="0" collapsed="false">
      <c r="A227" s="0" t="s">
        <v>718</v>
      </c>
      <c r="B227" s="0" t="s">
        <v>719</v>
      </c>
      <c r="C227" s="0" t="s">
        <v>720</v>
      </c>
      <c r="D227" s="0" t="s">
        <v>59</v>
      </c>
      <c r="E227" s="0" t="s">
        <v>186</v>
      </c>
      <c r="F227" s="0" t="s">
        <v>252</v>
      </c>
      <c r="G227" s="0" t="n">
        <v>2709231</v>
      </c>
      <c r="H227" s="0" t="n">
        <v>113772</v>
      </c>
      <c r="I227" s="0" t="n">
        <v>24386</v>
      </c>
      <c r="J227" s="0" t="n">
        <v>18.4</v>
      </c>
      <c r="K227" s="0" t="n">
        <v>10</v>
      </c>
      <c r="L227" s="0" t="n">
        <v>563</v>
      </c>
      <c r="M227" s="0" t="s">
        <v>54</v>
      </c>
      <c r="N227" s="0" t="s">
        <v>169</v>
      </c>
    </row>
    <row r="228" customFormat="false" ht="15" hidden="false" customHeight="false" outlineLevel="0" collapsed="false">
      <c r="A228" s="0" t="s">
        <v>721</v>
      </c>
      <c r="B228" s="0" t="s">
        <v>722</v>
      </c>
      <c r="C228" s="0" t="s">
        <v>84</v>
      </c>
      <c r="D228" s="0" t="s">
        <v>59</v>
      </c>
      <c r="E228" s="0" t="s">
        <v>558</v>
      </c>
      <c r="F228" s="0" t="s">
        <v>79</v>
      </c>
      <c r="G228" s="0" t="n">
        <v>1402975</v>
      </c>
      <c r="H228" s="0" t="n">
        <v>56749</v>
      </c>
      <c r="I228" s="0" t="n">
        <v>21343</v>
      </c>
      <c r="J228" s="0" t="n">
        <v>4.1</v>
      </c>
      <c r="K228" s="0" t="n">
        <v>13</v>
      </c>
      <c r="L228" s="0" t="n">
        <v>589</v>
      </c>
      <c r="M228" s="0" t="s">
        <v>35</v>
      </c>
      <c r="N228" s="0" t="s">
        <v>28</v>
      </c>
    </row>
    <row r="229" customFormat="false" ht="15" hidden="false" customHeight="false" outlineLevel="0" collapsed="false">
      <c r="A229" s="0" t="s">
        <v>723</v>
      </c>
      <c r="B229" s="0" t="s">
        <v>191</v>
      </c>
      <c r="C229" s="0" t="s">
        <v>385</v>
      </c>
      <c r="D229" s="0" t="s">
        <v>39</v>
      </c>
      <c r="E229" s="0" t="s">
        <v>159</v>
      </c>
      <c r="F229" s="0" t="s">
        <v>279</v>
      </c>
      <c r="G229" s="0" t="n">
        <v>1849516</v>
      </c>
      <c r="H229" s="0" t="n">
        <v>68777</v>
      </c>
      <c r="I229" s="0" t="n">
        <v>23525</v>
      </c>
      <c r="J229" s="0" t="n">
        <v>4.5</v>
      </c>
      <c r="K229" s="0" t="n">
        <v>8</v>
      </c>
      <c r="L229" s="0" t="n">
        <v>619</v>
      </c>
      <c r="M229" s="0" t="s">
        <v>54</v>
      </c>
      <c r="N229" s="0" t="s">
        <v>74</v>
      </c>
    </row>
    <row r="230" customFormat="false" ht="15" hidden="false" customHeight="false" outlineLevel="0" collapsed="false">
      <c r="A230" s="0" t="s">
        <v>724</v>
      </c>
      <c r="B230" s="0" t="s">
        <v>725</v>
      </c>
      <c r="C230" s="0" t="s">
        <v>410</v>
      </c>
      <c r="D230" s="0" t="s">
        <v>39</v>
      </c>
      <c r="E230" s="0" t="s">
        <v>544</v>
      </c>
      <c r="F230" s="0" t="s">
        <v>284</v>
      </c>
      <c r="G230" s="0" t="n">
        <v>3028727</v>
      </c>
      <c r="H230" s="0" t="n">
        <v>90981</v>
      </c>
      <c r="I230" s="0" t="n">
        <v>35998</v>
      </c>
      <c r="J230" s="0" t="n">
        <v>47.8</v>
      </c>
      <c r="K230" s="0" t="n">
        <v>24</v>
      </c>
      <c r="L230" s="0" t="n">
        <v>247</v>
      </c>
      <c r="M230" s="0" t="s">
        <v>20</v>
      </c>
      <c r="N230" s="0" t="s">
        <v>140</v>
      </c>
    </row>
    <row r="231" customFormat="false" ht="15" hidden="false" customHeight="false" outlineLevel="0" collapsed="false">
      <c r="A231" s="0" t="s">
        <v>726</v>
      </c>
      <c r="B231" s="0" t="s">
        <v>520</v>
      </c>
      <c r="C231" s="0" t="s">
        <v>456</v>
      </c>
      <c r="D231" s="0" t="s">
        <v>89</v>
      </c>
      <c r="E231" s="0" t="s">
        <v>106</v>
      </c>
      <c r="F231" s="0" t="s">
        <v>26</v>
      </c>
      <c r="G231" s="0" t="n">
        <v>1575890</v>
      </c>
      <c r="H231" s="0" t="n">
        <v>48828</v>
      </c>
      <c r="I231" s="0" t="n">
        <v>14886</v>
      </c>
      <c r="J231" s="0" t="n">
        <v>50.2</v>
      </c>
      <c r="K231" s="0" t="n">
        <v>16</v>
      </c>
      <c r="L231" s="0" t="n">
        <v>482</v>
      </c>
      <c r="M231" s="0" t="s">
        <v>20</v>
      </c>
      <c r="N231" s="0" t="s">
        <v>28</v>
      </c>
    </row>
    <row r="232" customFormat="false" ht="15" hidden="false" customHeight="false" outlineLevel="0" collapsed="false">
      <c r="A232" s="0" t="s">
        <v>727</v>
      </c>
      <c r="B232" s="0" t="s">
        <v>728</v>
      </c>
      <c r="C232" s="0" t="s">
        <v>669</v>
      </c>
      <c r="D232" s="0" t="s">
        <v>144</v>
      </c>
      <c r="E232" s="0" t="s">
        <v>40</v>
      </c>
      <c r="F232" s="0" t="s">
        <v>47</v>
      </c>
      <c r="G232" s="0" t="n">
        <v>1228369</v>
      </c>
      <c r="H232" s="0" t="n">
        <v>31201</v>
      </c>
      <c r="I232" s="0" t="n">
        <v>10900</v>
      </c>
      <c r="J232" s="0" t="n">
        <v>7.8</v>
      </c>
      <c r="K232" s="0" t="n">
        <v>11</v>
      </c>
      <c r="L232" s="0" t="n">
        <v>619</v>
      </c>
      <c r="M232" s="0" t="s">
        <v>35</v>
      </c>
      <c r="N232" s="0" t="s">
        <v>122</v>
      </c>
    </row>
    <row r="233" customFormat="false" ht="15" hidden="false" customHeight="false" outlineLevel="0" collapsed="false">
      <c r="A233" s="0" t="s">
        <v>729</v>
      </c>
      <c r="B233" s="0" t="s">
        <v>730</v>
      </c>
      <c r="C233" s="0" t="s">
        <v>731</v>
      </c>
      <c r="D233" s="0" t="s">
        <v>17</v>
      </c>
      <c r="E233" s="0" t="s">
        <v>130</v>
      </c>
      <c r="F233" s="0" t="s">
        <v>214</v>
      </c>
      <c r="G233" s="0" t="n">
        <v>2128923</v>
      </c>
      <c r="H233" s="0" t="n">
        <v>50001</v>
      </c>
      <c r="I233" s="0" t="n">
        <v>12838</v>
      </c>
      <c r="J233" s="0" t="n">
        <v>32.6</v>
      </c>
      <c r="K233" s="0" t="n">
        <v>11</v>
      </c>
      <c r="L233" s="0" t="n">
        <v>600</v>
      </c>
      <c r="M233" s="0" t="s">
        <v>20</v>
      </c>
      <c r="N233" s="0" t="s">
        <v>140</v>
      </c>
    </row>
    <row r="234" customFormat="false" ht="15" hidden="false" customHeight="false" outlineLevel="0" collapsed="false">
      <c r="A234" s="0" t="s">
        <v>732</v>
      </c>
      <c r="B234" s="0" t="s">
        <v>733</v>
      </c>
      <c r="C234" s="0" t="s">
        <v>345</v>
      </c>
      <c r="D234" s="0" t="s">
        <v>17</v>
      </c>
      <c r="E234" s="0" t="s">
        <v>266</v>
      </c>
      <c r="F234" s="0" t="s">
        <v>134</v>
      </c>
      <c r="G234" s="0" t="n">
        <v>1439094</v>
      </c>
      <c r="H234" s="0" t="n">
        <v>50673</v>
      </c>
      <c r="I234" s="0" t="n">
        <v>11769</v>
      </c>
      <c r="J234" s="0" t="n">
        <v>14.2</v>
      </c>
      <c r="K234" s="0" t="n">
        <v>6</v>
      </c>
      <c r="L234" s="0" t="n">
        <v>329</v>
      </c>
      <c r="M234" s="0" t="s">
        <v>20</v>
      </c>
      <c r="N234" s="0" t="s">
        <v>28</v>
      </c>
    </row>
    <row r="235" customFormat="false" ht="15" hidden="false" customHeight="false" outlineLevel="0" collapsed="false">
      <c r="A235" s="0" t="s">
        <v>734</v>
      </c>
      <c r="B235" s="0" t="s">
        <v>735</v>
      </c>
      <c r="C235" s="0" t="s">
        <v>401</v>
      </c>
      <c r="D235" s="0" t="s">
        <v>71</v>
      </c>
      <c r="E235" s="0" t="s">
        <v>273</v>
      </c>
      <c r="F235" s="0" t="s">
        <v>558</v>
      </c>
      <c r="G235" s="0" t="n">
        <v>1481896</v>
      </c>
      <c r="H235" s="0" t="n">
        <v>34280</v>
      </c>
      <c r="I235" s="0" t="n">
        <v>11013</v>
      </c>
      <c r="J235" s="0" t="n">
        <v>47.8</v>
      </c>
      <c r="K235" s="0" t="n">
        <v>17</v>
      </c>
      <c r="L235" s="0" t="n">
        <v>630</v>
      </c>
      <c r="M235" s="0" t="s">
        <v>20</v>
      </c>
      <c r="N235" s="0" t="s">
        <v>28</v>
      </c>
    </row>
    <row r="236" customFormat="false" ht="15" hidden="false" customHeight="false" outlineLevel="0" collapsed="false">
      <c r="A236" s="0" t="s">
        <v>736</v>
      </c>
      <c r="B236" s="0" t="s">
        <v>737</v>
      </c>
      <c r="C236" s="0" t="s">
        <v>529</v>
      </c>
      <c r="D236" s="0" t="s">
        <v>32</v>
      </c>
      <c r="E236" s="0" t="s">
        <v>197</v>
      </c>
      <c r="F236" s="0" t="s">
        <v>306</v>
      </c>
      <c r="G236" s="0" t="n">
        <v>3594960</v>
      </c>
      <c r="H236" s="0" t="n">
        <v>137703</v>
      </c>
      <c r="I236" s="0" t="n">
        <v>49710</v>
      </c>
      <c r="J236" s="0" t="n">
        <v>18.7</v>
      </c>
      <c r="K236" s="0" t="n">
        <v>8</v>
      </c>
      <c r="L236" s="0" t="n">
        <v>456</v>
      </c>
      <c r="M236" s="0" t="s">
        <v>54</v>
      </c>
      <c r="N236" s="0" t="s">
        <v>122</v>
      </c>
    </row>
    <row r="237" customFormat="false" ht="15" hidden="false" customHeight="false" outlineLevel="0" collapsed="false">
      <c r="A237" s="0" t="s">
        <v>738</v>
      </c>
      <c r="B237" s="0" t="s">
        <v>739</v>
      </c>
      <c r="C237" s="0" t="s">
        <v>535</v>
      </c>
      <c r="D237" s="0" t="s">
        <v>32</v>
      </c>
      <c r="E237" s="0" t="s">
        <v>182</v>
      </c>
      <c r="F237" s="0" t="s">
        <v>368</v>
      </c>
      <c r="G237" s="0" t="n">
        <v>5874745</v>
      </c>
      <c r="H237" s="0" t="n">
        <v>225764</v>
      </c>
      <c r="I237" s="0" t="n">
        <v>76690</v>
      </c>
      <c r="J237" s="0" t="n">
        <v>41.8</v>
      </c>
      <c r="K237" s="0" t="n">
        <v>8</v>
      </c>
      <c r="L237" s="0" t="n">
        <v>283</v>
      </c>
      <c r="M237" s="0" t="s">
        <v>54</v>
      </c>
      <c r="N237" s="0" t="s">
        <v>96</v>
      </c>
    </row>
    <row r="238" customFormat="false" ht="15" hidden="false" customHeight="false" outlineLevel="0" collapsed="false">
      <c r="A238" s="0" t="s">
        <v>740</v>
      </c>
      <c r="B238" s="0" t="s">
        <v>741</v>
      </c>
      <c r="C238" s="0" t="s">
        <v>345</v>
      </c>
      <c r="D238" s="0" t="s">
        <v>109</v>
      </c>
      <c r="E238" s="0" t="s">
        <v>390</v>
      </c>
      <c r="F238" s="0" t="s">
        <v>158</v>
      </c>
      <c r="G238" s="0" t="n">
        <v>1204559</v>
      </c>
      <c r="H238" s="0" t="n">
        <v>28995</v>
      </c>
      <c r="I238" s="0" t="n">
        <v>11010</v>
      </c>
      <c r="J238" s="0" t="n">
        <v>3.8</v>
      </c>
      <c r="K238" s="0" t="n">
        <v>7</v>
      </c>
      <c r="L238" s="0" t="n">
        <v>239</v>
      </c>
      <c r="M238" s="0" t="s">
        <v>20</v>
      </c>
      <c r="N238" s="0" t="s">
        <v>74</v>
      </c>
    </row>
    <row r="239" customFormat="false" ht="15" hidden="false" customHeight="false" outlineLevel="0" collapsed="false">
      <c r="A239" s="0" t="s">
        <v>742</v>
      </c>
      <c r="B239" s="0" t="s">
        <v>743</v>
      </c>
      <c r="C239" s="0" t="s">
        <v>371</v>
      </c>
      <c r="D239" s="0" t="s">
        <v>89</v>
      </c>
      <c r="E239" s="0" t="s">
        <v>47</v>
      </c>
      <c r="F239" s="0" t="s">
        <v>380</v>
      </c>
      <c r="G239" s="0" t="n">
        <v>1094007</v>
      </c>
      <c r="H239" s="0" t="n">
        <v>34381</v>
      </c>
      <c r="I239" s="0" t="n">
        <v>6965</v>
      </c>
      <c r="J239" s="0" t="n">
        <v>37.5</v>
      </c>
      <c r="K239" s="0" t="n">
        <v>7</v>
      </c>
      <c r="L239" s="0" t="n">
        <v>696</v>
      </c>
      <c r="M239" s="0" t="s">
        <v>54</v>
      </c>
      <c r="N239" s="0" t="s">
        <v>122</v>
      </c>
    </row>
    <row r="240" customFormat="false" ht="15" hidden="false" customHeight="false" outlineLevel="0" collapsed="false">
      <c r="A240" s="0" t="s">
        <v>744</v>
      </c>
      <c r="B240" s="0" t="s">
        <v>459</v>
      </c>
      <c r="C240" s="0" t="s">
        <v>745</v>
      </c>
      <c r="D240" s="0" t="s">
        <v>59</v>
      </c>
      <c r="E240" s="0" t="s">
        <v>182</v>
      </c>
      <c r="F240" s="0" t="s">
        <v>176</v>
      </c>
      <c r="G240" s="0" t="n">
        <v>3351867</v>
      </c>
      <c r="H240" s="0" t="n">
        <v>108436</v>
      </c>
      <c r="I240" s="0" t="n">
        <v>32733</v>
      </c>
      <c r="J240" s="0" t="n">
        <v>15.5</v>
      </c>
      <c r="K240" s="0" t="n">
        <v>11</v>
      </c>
      <c r="L240" s="0" t="n">
        <v>535</v>
      </c>
      <c r="M240" s="0" t="s">
        <v>20</v>
      </c>
      <c r="N240" s="0" t="s">
        <v>169</v>
      </c>
    </row>
    <row r="241" customFormat="false" ht="15" hidden="false" customHeight="false" outlineLevel="0" collapsed="false">
      <c r="A241" s="0" t="s">
        <v>746</v>
      </c>
      <c r="B241" s="0" t="s">
        <v>747</v>
      </c>
      <c r="C241" s="0" t="s">
        <v>532</v>
      </c>
      <c r="D241" s="0" t="s">
        <v>17</v>
      </c>
      <c r="E241" s="0" t="s">
        <v>353</v>
      </c>
      <c r="F241" s="0" t="s">
        <v>79</v>
      </c>
      <c r="G241" s="0" t="n">
        <v>1730470</v>
      </c>
      <c r="H241" s="0" t="n">
        <v>48322</v>
      </c>
      <c r="I241" s="0" t="n">
        <v>18144</v>
      </c>
      <c r="J241" s="0" t="n">
        <v>49.8</v>
      </c>
      <c r="K241" s="0" t="n">
        <v>22</v>
      </c>
      <c r="L241" s="0" t="n">
        <v>440</v>
      </c>
      <c r="M241" s="0" t="s">
        <v>54</v>
      </c>
      <c r="N241" s="0" t="s">
        <v>42</v>
      </c>
    </row>
    <row r="242" customFormat="false" ht="15" hidden="false" customHeight="false" outlineLevel="0" collapsed="false">
      <c r="A242" s="0" t="s">
        <v>748</v>
      </c>
      <c r="B242" s="0" t="s">
        <v>629</v>
      </c>
      <c r="C242" s="0" t="s">
        <v>749</v>
      </c>
      <c r="D242" s="0" t="s">
        <v>71</v>
      </c>
      <c r="E242" s="0" t="s">
        <v>130</v>
      </c>
      <c r="F242" s="0" t="s">
        <v>193</v>
      </c>
      <c r="G242" s="0" t="n">
        <v>1453586</v>
      </c>
      <c r="H242" s="0" t="n">
        <v>43100</v>
      </c>
      <c r="I242" s="0" t="n">
        <v>11202</v>
      </c>
      <c r="J242" s="0" t="n">
        <v>35.1</v>
      </c>
      <c r="K242" s="0" t="n">
        <v>15</v>
      </c>
      <c r="L242" s="0" t="n">
        <v>253</v>
      </c>
      <c r="M242" s="0" t="s">
        <v>54</v>
      </c>
      <c r="N242" s="0" t="s">
        <v>122</v>
      </c>
    </row>
    <row r="243" customFormat="false" ht="15" hidden="false" customHeight="false" outlineLevel="0" collapsed="false">
      <c r="A243" s="0" t="s">
        <v>750</v>
      </c>
      <c r="B243" s="0" t="s">
        <v>132</v>
      </c>
      <c r="C243" s="0" t="s">
        <v>129</v>
      </c>
      <c r="D243" s="0" t="s">
        <v>39</v>
      </c>
      <c r="E243" s="0" t="s">
        <v>164</v>
      </c>
      <c r="F243" s="0" t="s">
        <v>85</v>
      </c>
      <c r="G243" s="0" t="n">
        <v>2374027</v>
      </c>
      <c r="H243" s="0" t="n">
        <v>77827</v>
      </c>
      <c r="I243" s="0" t="n">
        <v>19776</v>
      </c>
      <c r="J243" s="0" t="n">
        <v>36.6</v>
      </c>
      <c r="K243" s="0" t="n">
        <v>20</v>
      </c>
      <c r="L243" s="0" t="n">
        <v>362</v>
      </c>
      <c r="M243" s="0" t="s">
        <v>35</v>
      </c>
      <c r="N243" s="0" t="s">
        <v>102</v>
      </c>
    </row>
    <row r="244" customFormat="false" ht="15" hidden="false" customHeight="false" outlineLevel="0" collapsed="false">
      <c r="A244" s="0" t="s">
        <v>751</v>
      </c>
      <c r="B244" s="0" t="s">
        <v>752</v>
      </c>
      <c r="C244" s="0" t="s">
        <v>753</v>
      </c>
      <c r="D244" s="0" t="s">
        <v>65</v>
      </c>
      <c r="E244" s="0" t="s">
        <v>248</v>
      </c>
      <c r="F244" s="0" t="s">
        <v>306</v>
      </c>
      <c r="G244" s="0" t="n">
        <v>1979495</v>
      </c>
      <c r="H244" s="0" t="n">
        <v>70544</v>
      </c>
      <c r="I244" s="0" t="n">
        <v>15386</v>
      </c>
      <c r="J244" s="0" t="n">
        <v>20.3</v>
      </c>
      <c r="K244" s="0" t="n">
        <v>10</v>
      </c>
      <c r="L244" s="0" t="n">
        <v>646</v>
      </c>
      <c r="M244" s="0" t="s">
        <v>20</v>
      </c>
      <c r="N244" s="0" t="s">
        <v>67</v>
      </c>
    </row>
    <row r="245" customFormat="false" ht="15" hidden="false" customHeight="false" outlineLevel="0" collapsed="false">
      <c r="A245" s="0" t="s">
        <v>754</v>
      </c>
      <c r="B245" s="0" t="s">
        <v>755</v>
      </c>
      <c r="C245" s="0" t="s">
        <v>698</v>
      </c>
      <c r="D245" s="0" t="s">
        <v>109</v>
      </c>
      <c r="E245" s="0" t="s">
        <v>292</v>
      </c>
      <c r="F245" s="0" t="s">
        <v>756</v>
      </c>
      <c r="G245" s="0" t="n">
        <v>1486238</v>
      </c>
      <c r="H245" s="0" t="n">
        <v>34259</v>
      </c>
      <c r="I245" s="0" t="n">
        <v>11504</v>
      </c>
      <c r="J245" s="0" t="n">
        <v>9.5</v>
      </c>
      <c r="K245" s="0" t="n">
        <v>22</v>
      </c>
      <c r="L245" s="0" t="n">
        <v>758</v>
      </c>
      <c r="M245" s="0" t="s">
        <v>54</v>
      </c>
      <c r="N245" s="0" t="s">
        <v>74</v>
      </c>
    </row>
    <row r="246" customFormat="false" ht="15" hidden="false" customHeight="false" outlineLevel="0" collapsed="false">
      <c r="A246" s="0" t="s">
        <v>757</v>
      </c>
      <c r="B246" s="0" t="s">
        <v>758</v>
      </c>
      <c r="C246" s="0" t="s">
        <v>572</v>
      </c>
      <c r="D246" s="0" t="s">
        <v>32</v>
      </c>
      <c r="E246" s="0" t="s">
        <v>648</v>
      </c>
      <c r="F246" s="0" t="s">
        <v>253</v>
      </c>
      <c r="G246" s="0" t="n">
        <v>5698094</v>
      </c>
      <c r="H246" s="0" t="n">
        <v>234277</v>
      </c>
      <c r="I246" s="0" t="n">
        <v>68624</v>
      </c>
      <c r="J246" s="0" t="n">
        <v>5.9</v>
      </c>
      <c r="K246" s="0" t="n">
        <v>6</v>
      </c>
      <c r="L246" s="0" t="n">
        <v>237</v>
      </c>
      <c r="M246" s="0" t="s">
        <v>54</v>
      </c>
      <c r="N246" s="0" t="s">
        <v>67</v>
      </c>
    </row>
    <row r="247" customFormat="false" ht="15" hidden="false" customHeight="false" outlineLevel="0" collapsed="false">
      <c r="A247" s="0" t="s">
        <v>759</v>
      </c>
      <c r="B247" s="0" t="s">
        <v>760</v>
      </c>
      <c r="C247" s="0" t="s">
        <v>510</v>
      </c>
      <c r="D247" s="0" t="s">
        <v>71</v>
      </c>
      <c r="E247" s="0" t="s">
        <v>53</v>
      </c>
      <c r="F247" s="0" t="s">
        <v>574</v>
      </c>
      <c r="G247" s="0" t="n">
        <v>1748348</v>
      </c>
      <c r="H247" s="0" t="n">
        <v>38196</v>
      </c>
      <c r="I247" s="0" t="n">
        <v>12637</v>
      </c>
      <c r="J247" s="0" t="n">
        <v>24</v>
      </c>
      <c r="K247" s="0" t="n">
        <v>10</v>
      </c>
      <c r="L247" s="0" t="n">
        <v>582</v>
      </c>
      <c r="M247" s="0" t="s">
        <v>20</v>
      </c>
      <c r="N247" s="0" t="s">
        <v>81</v>
      </c>
    </row>
    <row r="248" customFormat="false" ht="15" hidden="false" customHeight="false" outlineLevel="0" collapsed="false">
      <c r="A248" s="0" t="s">
        <v>761</v>
      </c>
      <c r="B248" s="0" t="s">
        <v>502</v>
      </c>
      <c r="C248" s="0" t="s">
        <v>691</v>
      </c>
      <c r="D248" s="0" t="s">
        <v>25</v>
      </c>
      <c r="E248" s="0" t="s">
        <v>66</v>
      </c>
      <c r="F248" s="0" t="s">
        <v>209</v>
      </c>
      <c r="G248" s="0" t="n">
        <v>2008934</v>
      </c>
      <c r="H248" s="0" t="n">
        <v>56388</v>
      </c>
      <c r="I248" s="0" t="n">
        <v>15687</v>
      </c>
      <c r="J248" s="0" t="n">
        <v>25.5</v>
      </c>
      <c r="K248" s="0" t="n">
        <v>18</v>
      </c>
      <c r="L248" s="0" t="n">
        <v>725</v>
      </c>
      <c r="M248" s="0" t="s">
        <v>54</v>
      </c>
      <c r="N248" s="0" t="s">
        <v>28</v>
      </c>
    </row>
    <row r="249" customFormat="false" ht="15" hidden="false" customHeight="false" outlineLevel="0" collapsed="false">
      <c r="A249" s="0" t="s">
        <v>762</v>
      </c>
      <c r="B249" s="0" t="s">
        <v>531</v>
      </c>
      <c r="C249" s="0" t="s">
        <v>492</v>
      </c>
      <c r="D249" s="0" t="s">
        <v>17</v>
      </c>
      <c r="E249" s="0" t="s">
        <v>198</v>
      </c>
      <c r="F249" s="0" t="s">
        <v>393</v>
      </c>
      <c r="G249" s="0" t="n">
        <v>2716040</v>
      </c>
      <c r="H249" s="0" t="n">
        <v>80557</v>
      </c>
      <c r="I249" s="0" t="n">
        <v>27700</v>
      </c>
      <c r="J249" s="0" t="n">
        <v>47</v>
      </c>
      <c r="K249" s="0" t="n">
        <v>22</v>
      </c>
      <c r="L249" s="0" t="n">
        <v>327</v>
      </c>
      <c r="M249" s="0" t="s">
        <v>54</v>
      </c>
      <c r="N249" s="0" t="s">
        <v>21</v>
      </c>
    </row>
    <row r="250" customFormat="false" ht="15" hidden="false" customHeight="false" outlineLevel="0" collapsed="false">
      <c r="A250" s="0" t="s">
        <v>763</v>
      </c>
      <c r="B250" s="0" t="s">
        <v>764</v>
      </c>
      <c r="C250" s="0" t="s">
        <v>638</v>
      </c>
      <c r="D250" s="0" t="s">
        <v>17</v>
      </c>
      <c r="E250" s="0" t="s">
        <v>299</v>
      </c>
      <c r="F250" s="0" t="s">
        <v>495</v>
      </c>
      <c r="G250" s="0" t="n">
        <v>1719714</v>
      </c>
      <c r="H250" s="0" t="n">
        <v>54993</v>
      </c>
      <c r="I250" s="0" t="n">
        <v>17398</v>
      </c>
      <c r="J250" s="0" t="n">
        <v>52.5</v>
      </c>
      <c r="K250" s="0" t="n">
        <v>22</v>
      </c>
      <c r="L250" s="0" t="n">
        <v>487</v>
      </c>
      <c r="M250" s="0" t="s">
        <v>20</v>
      </c>
      <c r="N250" s="0" t="s">
        <v>140</v>
      </c>
    </row>
    <row r="251" customFormat="false" ht="15" hidden="false" customHeight="false" outlineLevel="0" collapsed="false">
      <c r="A251" s="0" t="s">
        <v>765</v>
      </c>
      <c r="B251" s="0" t="s">
        <v>349</v>
      </c>
      <c r="C251" s="0" t="s">
        <v>24</v>
      </c>
      <c r="D251" s="0" t="s">
        <v>89</v>
      </c>
      <c r="E251" s="0" t="s">
        <v>60</v>
      </c>
      <c r="F251" s="0" t="s">
        <v>18</v>
      </c>
      <c r="G251" s="0" t="n">
        <v>1412347</v>
      </c>
      <c r="H251" s="0" t="n">
        <v>39077</v>
      </c>
      <c r="I251" s="0" t="n">
        <v>11404</v>
      </c>
      <c r="J251" s="0" t="n">
        <v>40.8</v>
      </c>
      <c r="K251" s="0" t="n">
        <v>12</v>
      </c>
      <c r="L251" s="0" t="n">
        <v>506</v>
      </c>
      <c r="M251" s="0" t="s">
        <v>20</v>
      </c>
      <c r="N251" s="0" t="s">
        <v>28</v>
      </c>
    </row>
    <row r="252" customFormat="false" ht="15" hidden="false" customHeight="false" outlineLevel="0" collapsed="false">
      <c r="A252" s="0" t="s">
        <v>766</v>
      </c>
      <c r="B252" s="0" t="s">
        <v>767</v>
      </c>
      <c r="C252" s="0" t="s">
        <v>172</v>
      </c>
      <c r="D252" s="0" t="s">
        <v>59</v>
      </c>
      <c r="E252" s="0" t="s">
        <v>280</v>
      </c>
      <c r="F252" s="0" t="s">
        <v>321</v>
      </c>
      <c r="G252" s="0" t="n">
        <v>3471930</v>
      </c>
      <c r="H252" s="0" t="n">
        <v>176849</v>
      </c>
      <c r="I252" s="0" t="n">
        <v>48981</v>
      </c>
      <c r="J252" s="0" t="n">
        <v>59.5</v>
      </c>
      <c r="K252" s="0" t="n">
        <v>11</v>
      </c>
      <c r="L252" s="0" t="n">
        <v>470</v>
      </c>
      <c r="M252" s="0" t="s">
        <v>20</v>
      </c>
      <c r="N252" s="0" t="s">
        <v>42</v>
      </c>
    </row>
    <row r="253" customFormat="false" ht="15" hidden="false" customHeight="false" outlineLevel="0" collapsed="false">
      <c r="A253" s="0" t="s">
        <v>768</v>
      </c>
      <c r="B253" s="0" t="s">
        <v>769</v>
      </c>
      <c r="C253" s="0" t="s">
        <v>283</v>
      </c>
      <c r="D253" s="0" t="s">
        <v>89</v>
      </c>
      <c r="E253" s="0" t="s">
        <v>770</v>
      </c>
      <c r="F253" s="0" t="s">
        <v>110</v>
      </c>
      <c r="G253" s="0" t="n">
        <v>1342358</v>
      </c>
      <c r="H253" s="0" t="n">
        <v>36558</v>
      </c>
      <c r="I253" s="0" t="n">
        <v>12699</v>
      </c>
      <c r="J253" s="0" t="n">
        <v>38.1</v>
      </c>
      <c r="K253" s="0" t="n">
        <v>7</v>
      </c>
      <c r="L253" s="0" t="n">
        <v>315</v>
      </c>
      <c r="M253" s="0" t="s">
        <v>20</v>
      </c>
      <c r="N253" s="0" t="s">
        <v>96</v>
      </c>
    </row>
    <row r="254" customFormat="false" ht="15" hidden="false" customHeight="false" outlineLevel="0" collapsed="false">
      <c r="A254" s="0" t="s">
        <v>771</v>
      </c>
      <c r="B254" s="0" t="s">
        <v>772</v>
      </c>
      <c r="C254" s="0" t="s">
        <v>773</v>
      </c>
      <c r="D254" s="0" t="s">
        <v>59</v>
      </c>
      <c r="E254" s="0" t="s">
        <v>495</v>
      </c>
      <c r="F254" s="0" t="s">
        <v>648</v>
      </c>
      <c r="G254" s="0" t="n">
        <v>1674547</v>
      </c>
      <c r="H254" s="0" t="n">
        <v>69384</v>
      </c>
      <c r="I254" s="0" t="n">
        <v>14602</v>
      </c>
      <c r="J254" s="0" t="n">
        <v>11.9</v>
      </c>
      <c r="K254" s="0" t="n">
        <v>6</v>
      </c>
      <c r="L254" s="0" t="n">
        <v>760</v>
      </c>
      <c r="M254" s="0" t="s">
        <v>35</v>
      </c>
      <c r="N254" s="0" t="s">
        <v>55</v>
      </c>
    </row>
    <row r="255" customFormat="false" ht="15" hidden="false" customHeight="false" outlineLevel="0" collapsed="false">
      <c r="A255" s="0" t="s">
        <v>774</v>
      </c>
      <c r="B255" s="0" t="s">
        <v>775</v>
      </c>
      <c r="C255" s="0" t="s">
        <v>529</v>
      </c>
      <c r="D255" s="0" t="s">
        <v>89</v>
      </c>
      <c r="E255" s="0" t="s">
        <v>262</v>
      </c>
      <c r="F255" s="0" t="s">
        <v>106</v>
      </c>
      <c r="G255" s="0" t="n">
        <v>1988341</v>
      </c>
      <c r="H255" s="0" t="n">
        <v>56184</v>
      </c>
      <c r="I255" s="0" t="n">
        <v>15914</v>
      </c>
      <c r="J255" s="0" t="n">
        <v>13.8</v>
      </c>
      <c r="K255" s="0" t="n">
        <v>16</v>
      </c>
      <c r="L255" s="0" t="n">
        <v>596</v>
      </c>
      <c r="M255" s="0" t="s">
        <v>20</v>
      </c>
      <c r="N255" s="0" t="s">
        <v>55</v>
      </c>
    </row>
    <row r="256" customFormat="false" ht="15" hidden="false" customHeight="false" outlineLevel="0" collapsed="false">
      <c r="A256" s="0" t="s">
        <v>776</v>
      </c>
      <c r="B256" s="0" t="s">
        <v>777</v>
      </c>
      <c r="C256" s="0" t="s">
        <v>105</v>
      </c>
      <c r="D256" s="0" t="s">
        <v>32</v>
      </c>
      <c r="E256" s="0" t="s">
        <v>130</v>
      </c>
      <c r="F256" s="0" t="s">
        <v>126</v>
      </c>
      <c r="G256" s="0" t="n">
        <v>4877925</v>
      </c>
      <c r="H256" s="0" t="n">
        <v>188953</v>
      </c>
      <c r="I256" s="0" t="n">
        <v>62477</v>
      </c>
      <c r="J256" s="0" t="n">
        <v>13.1</v>
      </c>
      <c r="K256" s="0" t="n">
        <v>6</v>
      </c>
      <c r="L256" s="0" t="n">
        <v>604</v>
      </c>
      <c r="M256" s="0" t="s">
        <v>20</v>
      </c>
      <c r="N256" s="0" t="s">
        <v>42</v>
      </c>
    </row>
    <row r="257" customFormat="false" ht="15" hidden="false" customHeight="false" outlineLevel="0" collapsed="false">
      <c r="A257" s="0" t="s">
        <v>778</v>
      </c>
      <c r="B257" s="0" t="s">
        <v>779</v>
      </c>
      <c r="C257" s="0" t="s">
        <v>523</v>
      </c>
      <c r="D257" s="0" t="s">
        <v>25</v>
      </c>
      <c r="E257" s="0" t="s">
        <v>284</v>
      </c>
      <c r="F257" s="0" t="s">
        <v>288</v>
      </c>
      <c r="G257" s="0" t="n">
        <v>4195447</v>
      </c>
      <c r="H257" s="0" t="n">
        <v>146107</v>
      </c>
      <c r="I257" s="0" t="n">
        <v>56457</v>
      </c>
      <c r="J257" s="0" t="n">
        <v>26.7</v>
      </c>
      <c r="K257" s="0" t="n">
        <v>19</v>
      </c>
      <c r="L257" s="0" t="n">
        <v>167</v>
      </c>
      <c r="M257" s="0" t="s">
        <v>35</v>
      </c>
      <c r="N257" s="0" t="s">
        <v>96</v>
      </c>
    </row>
    <row r="258" customFormat="false" ht="15" hidden="false" customHeight="false" outlineLevel="0" collapsed="false">
      <c r="A258" s="0" t="s">
        <v>780</v>
      </c>
      <c r="B258" s="0" t="s">
        <v>781</v>
      </c>
      <c r="C258" s="0" t="s">
        <v>782</v>
      </c>
      <c r="D258" s="0" t="s">
        <v>78</v>
      </c>
      <c r="E258" s="0" t="s">
        <v>48</v>
      </c>
      <c r="F258" s="0" t="s">
        <v>262</v>
      </c>
      <c r="G258" s="0" t="n">
        <v>4578076</v>
      </c>
      <c r="H258" s="0" t="n">
        <v>122803</v>
      </c>
      <c r="I258" s="0" t="n">
        <v>48498</v>
      </c>
      <c r="J258" s="0" t="n">
        <v>8.2</v>
      </c>
      <c r="K258" s="0" t="n">
        <v>15</v>
      </c>
      <c r="L258" s="0" t="n">
        <v>486</v>
      </c>
      <c r="M258" s="0" t="s">
        <v>54</v>
      </c>
      <c r="N258" s="0" t="s">
        <v>81</v>
      </c>
    </row>
    <row r="259" customFormat="false" ht="15" hidden="false" customHeight="false" outlineLevel="0" collapsed="false">
      <c r="A259" s="0" t="s">
        <v>783</v>
      </c>
      <c r="B259" s="0" t="s">
        <v>551</v>
      </c>
      <c r="C259" s="0" t="s">
        <v>784</v>
      </c>
      <c r="D259" s="0" t="s">
        <v>144</v>
      </c>
      <c r="E259" s="0" t="s">
        <v>288</v>
      </c>
      <c r="F259" s="0" t="s">
        <v>586</v>
      </c>
      <c r="G259" s="0" t="n">
        <v>1162037</v>
      </c>
      <c r="H259" s="0" t="n">
        <v>32129</v>
      </c>
      <c r="I259" s="0" t="n">
        <v>7204</v>
      </c>
      <c r="J259" s="0" t="n">
        <v>45.4</v>
      </c>
      <c r="K259" s="0" t="n">
        <v>14</v>
      </c>
      <c r="L259" s="0" t="n">
        <v>597</v>
      </c>
      <c r="M259" s="0" t="s">
        <v>20</v>
      </c>
      <c r="N259" s="0" t="s">
        <v>140</v>
      </c>
    </row>
    <row r="260" customFormat="false" ht="15" hidden="false" customHeight="false" outlineLevel="0" collapsed="false">
      <c r="A260" s="0" t="s">
        <v>785</v>
      </c>
      <c r="B260" s="0" t="s">
        <v>37</v>
      </c>
      <c r="C260" s="0" t="s">
        <v>500</v>
      </c>
      <c r="D260" s="0" t="s">
        <v>39</v>
      </c>
      <c r="E260" s="0" t="s">
        <v>648</v>
      </c>
      <c r="F260" s="0" t="s">
        <v>253</v>
      </c>
      <c r="G260" s="0" t="n">
        <v>2158887</v>
      </c>
      <c r="H260" s="0" t="n">
        <v>92139</v>
      </c>
      <c r="I260" s="0" t="n">
        <v>24582</v>
      </c>
      <c r="J260" s="0" t="n">
        <v>49.9</v>
      </c>
      <c r="K260" s="0" t="n">
        <v>22</v>
      </c>
      <c r="L260" s="0" t="n">
        <v>797</v>
      </c>
      <c r="M260" s="0" t="s">
        <v>54</v>
      </c>
      <c r="N260" s="0" t="s">
        <v>28</v>
      </c>
    </row>
    <row r="261" customFormat="false" ht="15" hidden="false" customHeight="false" outlineLevel="0" collapsed="false">
      <c r="A261" s="0" t="s">
        <v>786</v>
      </c>
      <c r="B261" s="0" t="s">
        <v>775</v>
      </c>
      <c r="C261" s="0" t="s">
        <v>787</v>
      </c>
      <c r="D261" s="0" t="s">
        <v>89</v>
      </c>
      <c r="E261" s="0" t="s">
        <v>101</v>
      </c>
      <c r="F261" s="0" t="s">
        <v>788</v>
      </c>
      <c r="G261" s="0" t="n">
        <v>1558608</v>
      </c>
      <c r="H261" s="0" t="n">
        <v>41957</v>
      </c>
      <c r="I261" s="0" t="n">
        <v>13876</v>
      </c>
      <c r="J261" s="0" t="n">
        <v>11.3</v>
      </c>
      <c r="K261" s="0" t="n">
        <v>22</v>
      </c>
      <c r="L261" s="0" t="n">
        <v>731</v>
      </c>
      <c r="M261" s="0" t="s">
        <v>35</v>
      </c>
      <c r="N261" s="0" t="s">
        <v>81</v>
      </c>
    </row>
    <row r="262" customFormat="false" ht="15" hidden="false" customHeight="false" outlineLevel="0" collapsed="false">
      <c r="A262" s="0" t="s">
        <v>789</v>
      </c>
      <c r="B262" s="0" t="s">
        <v>366</v>
      </c>
      <c r="C262" s="0" t="s">
        <v>45</v>
      </c>
      <c r="D262" s="0" t="s">
        <v>78</v>
      </c>
      <c r="E262" s="0" t="s">
        <v>262</v>
      </c>
      <c r="F262" s="0" t="s">
        <v>34</v>
      </c>
      <c r="G262" s="0" t="n">
        <v>3188505</v>
      </c>
      <c r="H262" s="0" t="n">
        <v>110555</v>
      </c>
      <c r="I262" s="0" t="n">
        <v>30995</v>
      </c>
      <c r="J262" s="0" t="n">
        <v>51.6</v>
      </c>
      <c r="K262" s="0" t="n">
        <v>14</v>
      </c>
      <c r="L262" s="0" t="n">
        <v>479</v>
      </c>
      <c r="M262" s="0" t="s">
        <v>54</v>
      </c>
      <c r="N262" s="0" t="s">
        <v>96</v>
      </c>
    </row>
    <row r="263" customFormat="false" ht="15" hidden="false" customHeight="false" outlineLevel="0" collapsed="false">
      <c r="A263" s="0" t="s">
        <v>790</v>
      </c>
      <c r="B263" s="0" t="s">
        <v>791</v>
      </c>
      <c r="C263" s="0" t="s">
        <v>388</v>
      </c>
      <c r="D263" s="0" t="s">
        <v>71</v>
      </c>
      <c r="E263" s="0" t="s">
        <v>145</v>
      </c>
      <c r="F263" s="0" t="s">
        <v>253</v>
      </c>
      <c r="G263" s="0" t="n">
        <v>1854919</v>
      </c>
      <c r="H263" s="0" t="n">
        <v>38259</v>
      </c>
      <c r="I263" s="0" t="n">
        <v>12153</v>
      </c>
      <c r="J263" s="0" t="n">
        <v>42.9</v>
      </c>
      <c r="K263" s="0" t="n">
        <v>23</v>
      </c>
      <c r="L263" s="0" t="n">
        <v>693</v>
      </c>
      <c r="M263" s="0" t="s">
        <v>35</v>
      </c>
      <c r="N263" s="0" t="s">
        <v>81</v>
      </c>
    </row>
    <row r="264" customFormat="false" ht="15" hidden="false" customHeight="false" outlineLevel="0" collapsed="false">
      <c r="A264" s="0" t="s">
        <v>792</v>
      </c>
      <c r="B264" s="0" t="s">
        <v>613</v>
      </c>
      <c r="C264" s="0" t="s">
        <v>217</v>
      </c>
      <c r="D264" s="0" t="s">
        <v>71</v>
      </c>
      <c r="E264" s="0" t="s">
        <v>321</v>
      </c>
      <c r="F264" s="0" t="s">
        <v>100</v>
      </c>
      <c r="G264" s="0" t="n">
        <v>1862862</v>
      </c>
      <c r="H264" s="0" t="n">
        <v>48611</v>
      </c>
      <c r="I264" s="0" t="n">
        <v>11970</v>
      </c>
      <c r="J264" s="0" t="n">
        <v>3.3</v>
      </c>
      <c r="K264" s="0" t="n">
        <v>12</v>
      </c>
      <c r="L264" s="0" t="n">
        <v>230</v>
      </c>
      <c r="M264" s="0" t="s">
        <v>20</v>
      </c>
      <c r="N264" s="0" t="s">
        <v>122</v>
      </c>
    </row>
    <row r="265" customFormat="false" ht="15" hidden="false" customHeight="false" outlineLevel="0" collapsed="false">
      <c r="A265" s="0" t="s">
        <v>793</v>
      </c>
      <c r="B265" s="0" t="s">
        <v>794</v>
      </c>
      <c r="C265" s="0" t="s">
        <v>795</v>
      </c>
      <c r="D265" s="0" t="s">
        <v>32</v>
      </c>
      <c r="E265" s="0" t="s">
        <v>181</v>
      </c>
      <c r="F265" s="0" t="s">
        <v>154</v>
      </c>
      <c r="G265" s="0" t="n">
        <v>4072566</v>
      </c>
      <c r="H265" s="0" t="n">
        <v>114992</v>
      </c>
      <c r="I265" s="0" t="n">
        <v>46577</v>
      </c>
      <c r="J265" s="0" t="n">
        <v>39.8</v>
      </c>
      <c r="K265" s="0" t="n">
        <v>6</v>
      </c>
      <c r="L265" s="0" t="n">
        <v>545</v>
      </c>
      <c r="M265" s="0" t="s">
        <v>20</v>
      </c>
      <c r="N265" s="0" t="s">
        <v>140</v>
      </c>
    </row>
    <row r="266" customFormat="false" ht="15" hidden="false" customHeight="false" outlineLevel="0" collapsed="false">
      <c r="A266" s="0" t="s">
        <v>796</v>
      </c>
      <c r="B266" s="0" t="s">
        <v>797</v>
      </c>
      <c r="C266" s="0" t="s">
        <v>232</v>
      </c>
      <c r="D266" s="0" t="s">
        <v>32</v>
      </c>
      <c r="E266" s="0" t="s">
        <v>72</v>
      </c>
      <c r="F266" s="0" t="s">
        <v>125</v>
      </c>
      <c r="G266" s="0" t="n">
        <v>3857120</v>
      </c>
      <c r="H266" s="0" t="n">
        <v>136655</v>
      </c>
      <c r="I266" s="0" t="n">
        <v>31576</v>
      </c>
      <c r="J266" s="0" t="n">
        <v>14.7</v>
      </c>
      <c r="K266" s="0" t="n">
        <v>23</v>
      </c>
      <c r="L266" s="0" t="n">
        <v>547</v>
      </c>
      <c r="M266" s="0" t="s">
        <v>54</v>
      </c>
      <c r="N266" s="0" t="s">
        <v>74</v>
      </c>
    </row>
    <row r="267" customFormat="false" ht="15" hidden="false" customHeight="false" outlineLevel="0" collapsed="false">
      <c r="A267" s="0" t="s">
        <v>798</v>
      </c>
      <c r="B267" s="0" t="s">
        <v>799</v>
      </c>
      <c r="C267" s="0" t="s">
        <v>800</v>
      </c>
      <c r="D267" s="0" t="s">
        <v>78</v>
      </c>
      <c r="E267" s="0" t="s">
        <v>306</v>
      </c>
      <c r="F267" s="0" t="s">
        <v>539</v>
      </c>
      <c r="G267" s="0" t="n">
        <v>2377703</v>
      </c>
      <c r="H267" s="0" t="n">
        <v>89840</v>
      </c>
      <c r="I267" s="0" t="n">
        <v>20374</v>
      </c>
      <c r="J267" s="0" t="n">
        <v>11.6</v>
      </c>
      <c r="K267" s="0" t="n">
        <v>18</v>
      </c>
      <c r="L267" s="0" t="n">
        <v>641</v>
      </c>
      <c r="M267" s="0" t="s">
        <v>54</v>
      </c>
      <c r="N267" s="0" t="s">
        <v>169</v>
      </c>
    </row>
    <row r="268" customFormat="false" ht="15" hidden="false" customHeight="false" outlineLevel="0" collapsed="false">
      <c r="A268" s="0" t="s">
        <v>801</v>
      </c>
      <c r="B268" s="0" t="s">
        <v>802</v>
      </c>
      <c r="C268" s="0" t="s">
        <v>129</v>
      </c>
      <c r="D268" s="0" t="s">
        <v>17</v>
      </c>
      <c r="E268" s="0" t="s">
        <v>134</v>
      </c>
      <c r="F268" s="0" t="s">
        <v>94</v>
      </c>
      <c r="G268" s="0" t="n">
        <v>1635630</v>
      </c>
      <c r="H268" s="0" t="n">
        <v>61154</v>
      </c>
      <c r="I268" s="0" t="n">
        <v>19098</v>
      </c>
      <c r="J268" s="0" t="n">
        <v>45.2</v>
      </c>
      <c r="K268" s="0" t="n">
        <v>19</v>
      </c>
      <c r="L268" s="0" t="n">
        <v>714</v>
      </c>
      <c r="M268" s="0" t="s">
        <v>54</v>
      </c>
      <c r="N268" s="0" t="s">
        <v>102</v>
      </c>
    </row>
    <row r="269" customFormat="false" ht="15" hidden="false" customHeight="false" outlineLevel="0" collapsed="false">
      <c r="A269" s="0" t="s">
        <v>803</v>
      </c>
      <c r="B269" s="0" t="s">
        <v>447</v>
      </c>
      <c r="C269" s="0" t="s">
        <v>114</v>
      </c>
      <c r="D269" s="0" t="s">
        <v>65</v>
      </c>
      <c r="E269" s="0" t="s">
        <v>292</v>
      </c>
      <c r="F269" s="0" t="s">
        <v>27</v>
      </c>
      <c r="G269" s="0" t="n">
        <v>1813003</v>
      </c>
      <c r="H269" s="0" t="n">
        <v>63216</v>
      </c>
      <c r="I269" s="0" t="n">
        <v>13221</v>
      </c>
      <c r="J269" s="0" t="n">
        <v>38.3</v>
      </c>
      <c r="K269" s="0" t="n">
        <v>12</v>
      </c>
      <c r="L269" s="0" t="n">
        <v>714</v>
      </c>
      <c r="M269" s="0" t="s">
        <v>20</v>
      </c>
      <c r="N269" s="0" t="s">
        <v>55</v>
      </c>
    </row>
    <row r="270" customFormat="false" ht="15" hidden="false" customHeight="false" outlineLevel="0" collapsed="false">
      <c r="A270" s="0" t="s">
        <v>804</v>
      </c>
      <c r="B270" s="0" t="s">
        <v>805</v>
      </c>
      <c r="C270" s="0" t="s">
        <v>806</v>
      </c>
      <c r="D270" s="0" t="s">
        <v>78</v>
      </c>
      <c r="E270" s="0" t="s">
        <v>675</v>
      </c>
      <c r="F270" s="0" t="s">
        <v>284</v>
      </c>
      <c r="G270" s="0" t="n">
        <v>5007201</v>
      </c>
      <c r="H270" s="0" t="n">
        <v>181774</v>
      </c>
      <c r="I270" s="0" t="n">
        <v>44805</v>
      </c>
      <c r="J270" s="0" t="n">
        <v>12.9</v>
      </c>
      <c r="K270" s="0" t="n">
        <v>21</v>
      </c>
      <c r="L270" s="0" t="n">
        <v>465</v>
      </c>
      <c r="M270" s="0" t="s">
        <v>35</v>
      </c>
      <c r="N270" s="0" t="s">
        <v>140</v>
      </c>
    </row>
    <row r="271" customFormat="false" ht="15" hidden="false" customHeight="false" outlineLevel="0" collapsed="false">
      <c r="A271" s="0" t="s">
        <v>807</v>
      </c>
      <c r="B271" s="0" t="s">
        <v>132</v>
      </c>
      <c r="C271" s="0" t="s">
        <v>808</v>
      </c>
      <c r="D271" s="0" t="s">
        <v>39</v>
      </c>
      <c r="E271" s="0" t="s">
        <v>115</v>
      </c>
      <c r="F271" s="0" t="s">
        <v>248</v>
      </c>
      <c r="G271" s="0" t="n">
        <v>2784758</v>
      </c>
      <c r="H271" s="0" t="n">
        <v>115966</v>
      </c>
      <c r="I271" s="0" t="n">
        <v>30708</v>
      </c>
      <c r="J271" s="0" t="n">
        <v>58.9</v>
      </c>
      <c r="K271" s="0" t="n">
        <v>25</v>
      </c>
      <c r="L271" s="0" t="n">
        <v>356</v>
      </c>
      <c r="M271" s="0" t="s">
        <v>20</v>
      </c>
      <c r="N271" s="0" t="s">
        <v>28</v>
      </c>
    </row>
    <row r="272" customFormat="false" ht="15" hidden="false" customHeight="false" outlineLevel="0" collapsed="false">
      <c r="A272" s="0" t="s">
        <v>809</v>
      </c>
      <c r="B272" s="0" t="s">
        <v>725</v>
      </c>
      <c r="C272" s="0" t="s">
        <v>236</v>
      </c>
      <c r="D272" s="0" t="s">
        <v>39</v>
      </c>
      <c r="E272" s="0" t="s">
        <v>233</v>
      </c>
      <c r="F272" s="0" t="s">
        <v>273</v>
      </c>
      <c r="G272" s="0" t="n">
        <v>1505045</v>
      </c>
      <c r="H272" s="0" t="n">
        <v>65132</v>
      </c>
      <c r="I272" s="0" t="n">
        <v>14393</v>
      </c>
      <c r="J272" s="0" t="n">
        <v>41.2</v>
      </c>
      <c r="K272" s="0" t="n">
        <v>8</v>
      </c>
      <c r="L272" s="0" t="n">
        <v>603</v>
      </c>
      <c r="M272" s="0" t="s">
        <v>54</v>
      </c>
      <c r="N272" s="0" t="s">
        <v>140</v>
      </c>
    </row>
    <row r="273" customFormat="false" ht="15" hidden="false" customHeight="false" outlineLevel="0" collapsed="false">
      <c r="A273" s="0" t="s">
        <v>810</v>
      </c>
      <c r="B273" s="0" t="s">
        <v>811</v>
      </c>
      <c r="C273" s="0" t="s">
        <v>812</v>
      </c>
      <c r="D273" s="0" t="s">
        <v>25</v>
      </c>
      <c r="E273" s="0" t="s">
        <v>220</v>
      </c>
      <c r="F273" s="0" t="s">
        <v>340</v>
      </c>
      <c r="G273" s="0" t="n">
        <v>5266170</v>
      </c>
      <c r="H273" s="0" t="n">
        <v>173369</v>
      </c>
      <c r="I273" s="0" t="n">
        <v>44230</v>
      </c>
      <c r="J273" s="0" t="n">
        <v>4.1</v>
      </c>
      <c r="K273" s="0" t="n">
        <v>15</v>
      </c>
      <c r="L273" s="0" t="n">
        <v>171</v>
      </c>
      <c r="M273" s="0" t="s">
        <v>54</v>
      </c>
      <c r="N273" s="0" t="s">
        <v>102</v>
      </c>
    </row>
    <row r="274" customFormat="false" ht="15" hidden="false" customHeight="false" outlineLevel="0" collapsed="false">
      <c r="A274" s="0" t="s">
        <v>813</v>
      </c>
      <c r="B274" s="0" t="s">
        <v>814</v>
      </c>
      <c r="C274" s="0" t="s">
        <v>815</v>
      </c>
      <c r="D274" s="0" t="s">
        <v>46</v>
      </c>
      <c r="E274" s="0" t="s">
        <v>106</v>
      </c>
      <c r="F274" s="0" t="s">
        <v>126</v>
      </c>
      <c r="G274" s="0" t="n">
        <v>2015270</v>
      </c>
      <c r="H274" s="0" t="n">
        <v>61222</v>
      </c>
      <c r="I274" s="0" t="n">
        <v>13335</v>
      </c>
      <c r="J274" s="0" t="n">
        <v>13.2</v>
      </c>
      <c r="K274" s="0" t="n">
        <v>11</v>
      </c>
      <c r="L274" s="0" t="n">
        <v>595</v>
      </c>
      <c r="M274" s="0" t="s">
        <v>20</v>
      </c>
      <c r="N274" s="0" t="s">
        <v>122</v>
      </c>
    </row>
    <row r="275" customFormat="false" ht="15" hidden="false" customHeight="false" outlineLevel="0" collapsed="false">
      <c r="A275" s="0" t="s">
        <v>816</v>
      </c>
      <c r="B275" s="0" t="s">
        <v>817</v>
      </c>
      <c r="C275" s="0" t="s">
        <v>456</v>
      </c>
      <c r="D275" s="0" t="s">
        <v>25</v>
      </c>
      <c r="E275" s="0" t="s">
        <v>233</v>
      </c>
      <c r="F275" s="0" t="s">
        <v>353</v>
      </c>
      <c r="G275" s="0" t="n">
        <v>1815467</v>
      </c>
      <c r="H275" s="0" t="n">
        <v>74015</v>
      </c>
      <c r="I275" s="0" t="n">
        <v>22282</v>
      </c>
      <c r="J275" s="0" t="n">
        <v>5.7</v>
      </c>
      <c r="K275" s="0" t="n">
        <v>19</v>
      </c>
      <c r="L275" s="0" t="n">
        <v>771</v>
      </c>
      <c r="M275" s="0" t="s">
        <v>20</v>
      </c>
      <c r="N275" s="0" t="s">
        <v>81</v>
      </c>
    </row>
    <row r="276" customFormat="false" ht="15" hidden="false" customHeight="false" outlineLevel="0" collapsed="false">
      <c r="A276" s="0" t="s">
        <v>818</v>
      </c>
      <c r="B276" s="0" t="s">
        <v>37</v>
      </c>
      <c r="C276" s="0" t="s">
        <v>201</v>
      </c>
      <c r="D276" s="0" t="s">
        <v>39</v>
      </c>
      <c r="E276" s="0" t="s">
        <v>487</v>
      </c>
      <c r="F276" s="0" t="s">
        <v>134</v>
      </c>
      <c r="G276" s="0" t="n">
        <v>3445912</v>
      </c>
      <c r="H276" s="0" t="n">
        <v>117649</v>
      </c>
      <c r="I276" s="0" t="n">
        <v>36297</v>
      </c>
      <c r="J276" s="0" t="n">
        <v>30.5</v>
      </c>
      <c r="K276" s="0" t="n">
        <v>22</v>
      </c>
      <c r="L276" s="0" t="n">
        <v>459</v>
      </c>
      <c r="M276" s="0" t="s">
        <v>20</v>
      </c>
      <c r="N276" s="0" t="s">
        <v>81</v>
      </c>
    </row>
    <row r="277" customFormat="false" ht="15" hidden="false" customHeight="false" outlineLevel="0" collapsed="false">
      <c r="A277" s="0" t="s">
        <v>819</v>
      </c>
      <c r="B277" s="0" t="s">
        <v>820</v>
      </c>
      <c r="C277" s="0" t="s">
        <v>167</v>
      </c>
      <c r="D277" s="0" t="s">
        <v>144</v>
      </c>
      <c r="E277" s="0" t="s">
        <v>164</v>
      </c>
      <c r="F277" s="0" t="s">
        <v>280</v>
      </c>
      <c r="G277" s="0" t="n">
        <v>2352461</v>
      </c>
      <c r="H277" s="0" t="n">
        <v>65325</v>
      </c>
      <c r="I277" s="0" t="n">
        <v>19242</v>
      </c>
      <c r="J277" s="0" t="n">
        <v>54</v>
      </c>
      <c r="K277" s="0" t="n">
        <v>8</v>
      </c>
      <c r="L277" s="0" t="n">
        <v>535</v>
      </c>
      <c r="M277" s="0" t="s">
        <v>20</v>
      </c>
      <c r="N277" s="0" t="s">
        <v>74</v>
      </c>
    </row>
    <row r="278" customFormat="false" ht="15" hidden="false" customHeight="false" outlineLevel="0" collapsed="false">
      <c r="A278" s="0" t="s">
        <v>821</v>
      </c>
      <c r="B278" s="0" t="s">
        <v>685</v>
      </c>
      <c r="C278" s="0" t="s">
        <v>133</v>
      </c>
      <c r="D278" s="0" t="s">
        <v>65</v>
      </c>
      <c r="E278" s="0" t="s">
        <v>159</v>
      </c>
      <c r="F278" s="0" t="s">
        <v>85</v>
      </c>
      <c r="G278" s="0" t="n">
        <v>1847757</v>
      </c>
      <c r="H278" s="0" t="n">
        <v>50942</v>
      </c>
      <c r="I278" s="0" t="n">
        <v>16145</v>
      </c>
      <c r="J278" s="0" t="n">
        <v>43</v>
      </c>
      <c r="K278" s="0" t="n">
        <v>14</v>
      </c>
      <c r="L278" s="0" t="n">
        <v>728</v>
      </c>
      <c r="M278" s="0" t="s">
        <v>20</v>
      </c>
      <c r="N278" s="0" t="s">
        <v>140</v>
      </c>
    </row>
    <row r="279" customFormat="false" ht="15" hidden="false" customHeight="false" outlineLevel="0" collapsed="false">
      <c r="A279" s="0" t="s">
        <v>822</v>
      </c>
      <c r="B279" s="0" t="s">
        <v>823</v>
      </c>
      <c r="C279" s="0" t="s">
        <v>824</v>
      </c>
      <c r="D279" s="0" t="s">
        <v>39</v>
      </c>
      <c r="E279" s="0" t="s">
        <v>153</v>
      </c>
      <c r="F279" s="0" t="s">
        <v>182</v>
      </c>
      <c r="G279" s="0" t="n">
        <v>2211266</v>
      </c>
      <c r="H279" s="0" t="n">
        <v>113040</v>
      </c>
      <c r="I279" s="0" t="n">
        <v>34436</v>
      </c>
      <c r="J279" s="0" t="n">
        <v>48.2</v>
      </c>
      <c r="K279" s="0" t="n">
        <v>11</v>
      </c>
      <c r="L279" s="0" t="n">
        <v>173</v>
      </c>
      <c r="M279" s="0" t="s">
        <v>20</v>
      </c>
      <c r="N279" s="0" t="s">
        <v>140</v>
      </c>
    </row>
    <row r="280" customFormat="false" ht="15" hidden="false" customHeight="false" outlineLevel="0" collapsed="false">
      <c r="A280" s="0" t="s">
        <v>825</v>
      </c>
      <c r="B280" s="0" t="s">
        <v>826</v>
      </c>
      <c r="C280" s="0" t="s">
        <v>827</v>
      </c>
      <c r="D280" s="0" t="s">
        <v>109</v>
      </c>
      <c r="E280" s="0" t="s">
        <v>648</v>
      </c>
      <c r="F280" s="0" t="s">
        <v>347</v>
      </c>
      <c r="G280" s="0" t="n">
        <v>1432037</v>
      </c>
      <c r="H280" s="0" t="n">
        <v>33570</v>
      </c>
      <c r="I280" s="0" t="n">
        <v>11351</v>
      </c>
      <c r="J280" s="0" t="n">
        <v>50</v>
      </c>
      <c r="K280" s="0" t="n">
        <v>11</v>
      </c>
      <c r="L280" s="0" t="n">
        <v>447</v>
      </c>
      <c r="M280" s="0" t="s">
        <v>35</v>
      </c>
      <c r="N280" s="0" t="s">
        <v>169</v>
      </c>
    </row>
    <row r="281" customFormat="false" ht="15" hidden="false" customHeight="false" outlineLevel="0" collapsed="false">
      <c r="A281" s="0" t="s">
        <v>828</v>
      </c>
      <c r="B281" s="0" t="s">
        <v>829</v>
      </c>
      <c r="C281" s="0" t="s">
        <v>460</v>
      </c>
      <c r="D281" s="0" t="s">
        <v>65</v>
      </c>
      <c r="E281" s="0" t="s">
        <v>262</v>
      </c>
      <c r="F281" s="0" t="s">
        <v>220</v>
      </c>
      <c r="G281" s="0" t="n">
        <v>1381693</v>
      </c>
      <c r="H281" s="0" t="n">
        <v>42697</v>
      </c>
      <c r="I281" s="0" t="n">
        <v>12334</v>
      </c>
      <c r="J281" s="0" t="n">
        <v>26.1</v>
      </c>
      <c r="K281" s="0" t="n">
        <v>12</v>
      </c>
      <c r="L281" s="0" t="n">
        <v>211</v>
      </c>
      <c r="M281" s="0" t="s">
        <v>54</v>
      </c>
      <c r="N281" s="0" t="s">
        <v>169</v>
      </c>
    </row>
    <row r="282" customFormat="false" ht="15" hidden="false" customHeight="false" outlineLevel="0" collapsed="false">
      <c r="A282" s="0" t="s">
        <v>830</v>
      </c>
      <c r="B282" s="0" t="s">
        <v>831</v>
      </c>
      <c r="C282" s="0" t="s">
        <v>832</v>
      </c>
      <c r="D282" s="0" t="s">
        <v>78</v>
      </c>
      <c r="E282" s="0" t="s">
        <v>666</v>
      </c>
      <c r="F282" s="0" t="s">
        <v>154</v>
      </c>
      <c r="G282" s="0" t="n">
        <v>3960067</v>
      </c>
      <c r="H282" s="0" t="n">
        <v>150722</v>
      </c>
      <c r="I282" s="0" t="n">
        <v>34240</v>
      </c>
      <c r="J282" s="0" t="n">
        <v>43.9</v>
      </c>
      <c r="K282" s="0" t="n">
        <v>8</v>
      </c>
      <c r="L282" s="0" t="n">
        <v>752</v>
      </c>
      <c r="M282" s="0" t="s">
        <v>54</v>
      </c>
      <c r="N282" s="0" t="s">
        <v>67</v>
      </c>
    </row>
    <row r="283" customFormat="false" ht="15" hidden="false" customHeight="false" outlineLevel="0" collapsed="false">
      <c r="A283" s="0" t="s">
        <v>833</v>
      </c>
      <c r="B283" s="0" t="s">
        <v>834</v>
      </c>
      <c r="C283" s="0" t="s">
        <v>388</v>
      </c>
      <c r="D283" s="0" t="s">
        <v>144</v>
      </c>
      <c r="E283" s="0" t="s">
        <v>552</v>
      </c>
      <c r="F283" s="0" t="s">
        <v>257</v>
      </c>
      <c r="G283" s="0" t="n">
        <v>1593609</v>
      </c>
      <c r="H283" s="0" t="n">
        <v>28629</v>
      </c>
      <c r="I283" s="0" t="n">
        <v>10060</v>
      </c>
      <c r="J283" s="0" t="n">
        <v>8.7</v>
      </c>
      <c r="K283" s="0" t="n">
        <v>21</v>
      </c>
      <c r="L283" s="0" t="n">
        <v>295</v>
      </c>
      <c r="M283" s="0" t="s">
        <v>54</v>
      </c>
      <c r="N283" s="0" t="s">
        <v>96</v>
      </c>
    </row>
    <row r="284" customFormat="false" ht="15" hidden="false" customHeight="false" outlineLevel="0" collapsed="false">
      <c r="A284" s="0" t="s">
        <v>835</v>
      </c>
      <c r="B284" s="0" t="s">
        <v>836</v>
      </c>
      <c r="C284" s="0" t="s">
        <v>350</v>
      </c>
      <c r="D284" s="0" t="s">
        <v>32</v>
      </c>
      <c r="E284" s="0" t="s">
        <v>238</v>
      </c>
      <c r="F284" s="0" t="s">
        <v>389</v>
      </c>
      <c r="G284" s="0" t="n">
        <v>2364316</v>
      </c>
      <c r="H284" s="0" t="n">
        <v>101747</v>
      </c>
      <c r="I284" s="0" t="n">
        <v>23478</v>
      </c>
      <c r="J284" s="0" t="n">
        <v>33.8</v>
      </c>
      <c r="K284" s="0" t="n">
        <v>7</v>
      </c>
      <c r="L284" s="0" t="n">
        <v>410</v>
      </c>
      <c r="M284" s="0" t="s">
        <v>35</v>
      </c>
      <c r="N284" s="0" t="s">
        <v>67</v>
      </c>
    </row>
    <row r="285" customFormat="false" ht="15" hidden="false" customHeight="false" outlineLevel="0" collapsed="false">
      <c r="A285" s="0" t="s">
        <v>837</v>
      </c>
      <c r="B285" s="0" t="s">
        <v>838</v>
      </c>
      <c r="C285" s="0" t="s">
        <v>295</v>
      </c>
      <c r="D285" s="0" t="s">
        <v>71</v>
      </c>
      <c r="E285" s="0" t="s">
        <v>244</v>
      </c>
      <c r="F285" s="0" t="s">
        <v>85</v>
      </c>
      <c r="G285" s="0" t="n">
        <v>1674203</v>
      </c>
      <c r="H285" s="0" t="n">
        <v>45502</v>
      </c>
      <c r="I285" s="0" t="n">
        <v>10563</v>
      </c>
      <c r="J285" s="0" t="n">
        <v>57</v>
      </c>
      <c r="K285" s="0" t="n">
        <v>11</v>
      </c>
      <c r="L285" s="0" t="n">
        <v>411</v>
      </c>
      <c r="M285" s="0" t="s">
        <v>35</v>
      </c>
      <c r="N285" s="0" t="s">
        <v>55</v>
      </c>
    </row>
    <row r="286" customFormat="false" ht="15" hidden="false" customHeight="false" outlineLevel="0" collapsed="false">
      <c r="A286" s="0" t="s">
        <v>839</v>
      </c>
      <c r="B286" s="0" t="s">
        <v>308</v>
      </c>
      <c r="C286" s="0" t="s">
        <v>840</v>
      </c>
      <c r="D286" s="0" t="s">
        <v>65</v>
      </c>
      <c r="E286" s="0" t="s">
        <v>372</v>
      </c>
      <c r="F286" s="0" t="s">
        <v>72</v>
      </c>
      <c r="G286" s="0" t="n">
        <v>1450677</v>
      </c>
      <c r="H286" s="0" t="n">
        <v>43646</v>
      </c>
      <c r="I286" s="0" t="n">
        <v>12599</v>
      </c>
      <c r="J286" s="0" t="n">
        <v>35.7</v>
      </c>
      <c r="K286" s="0" t="n">
        <v>20</v>
      </c>
      <c r="L286" s="0" t="n">
        <v>649</v>
      </c>
      <c r="M286" s="0" t="s">
        <v>54</v>
      </c>
      <c r="N286" s="0" t="s">
        <v>28</v>
      </c>
    </row>
    <row r="287" customFormat="false" ht="15" hidden="false" customHeight="false" outlineLevel="0" collapsed="false">
      <c r="A287" s="0" t="s">
        <v>841</v>
      </c>
      <c r="B287" s="0" t="s">
        <v>842</v>
      </c>
      <c r="C287" s="0" t="s">
        <v>720</v>
      </c>
      <c r="D287" s="0" t="s">
        <v>71</v>
      </c>
      <c r="E287" s="0" t="s">
        <v>224</v>
      </c>
      <c r="F287" s="0" t="s">
        <v>168</v>
      </c>
      <c r="G287" s="0" t="n">
        <v>1190298</v>
      </c>
      <c r="H287" s="0" t="n">
        <v>27645</v>
      </c>
      <c r="I287" s="0" t="n">
        <v>6213</v>
      </c>
      <c r="J287" s="0" t="n">
        <v>15.6</v>
      </c>
      <c r="K287" s="0" t="n">
        <v>22</v>
      </c>
      <c r="L287" s="0" t="n">
        <v>205</v>
      </c>
      <c r="M287" s="0" t="s">
        <v>54</v>
      </c>
      <c r="N287" s="0" t="s">
        <v>74</v>
      </c>
    </row>
    <row r="288" customFormat="false" ht="15" hidden="false" customHeight="false" outlineLevel="0" collapsed="false">
      <c r="A288" s="0" t="s">
        <v>843</v>
      </c>
      <c r="B288" s="0" t="s">
        <v>844</v>
      </c>
      <c r="C288" s="0" t="s">
        <v>338</v>
      </c>
      <c r="D288" s="0" t="s">
        <v>39</v>
      </c>
      <c r="E288" s="0" t="s">
        <v>106</v>
      </c>
      <c r="F288" s="0" t="s">
        <v>126</v>
      </c>
      <c r="G288" s="0" t="n">
        <v>3597445</v>
      </c>
      <c r="H288" s="0" t="n">
        <v>133939</v>
      </c>
      <c r="I288" s="0" t="n">
        <v>39039</v>
      </c>
      <c r="J288" s="0" t="n">
        <v>55</v>
      </c>
      <c r="K288" s="0" t="n">
        <v>8</v>
      </c>
      <c r="L288" s="0" t="n">
        <v>247</v>
      </c>
      <c r="M288" s="0" t="s">
        <v>35</v>
      </c>
      <c r="N288" s="0" t="s">
        <v>21</v>
      </c>
    </row>
    <row r="289" customFormat="false" ht="15" hidden="false" customHeight="false" outlineLevel="0" collapsed="false">
      <c r="A289" s="0" t="s">
        <v>845</v>
      </c>
      <c r="B289" s="0" t="s">
        <v>846</v>
      </c>
      <c r="C289" s="0" t="s">
        <v>317</v>
      </c>
      <c r="D289" s="0" t="s">
        <v>17</v>
      </c>
      <c r="E289" s="0" t="s">
        <v>130</v>
      </c>
      <c r="F289" s="0" t="s">
        <v>213</v>
      </c>
      <c r="G289" s="0" t="n">
        <v>3023912</v>
      </c>
      <c r="H289" s="0" t="n">
        <v>84466</v>
      </c>
      <c r="I289" s="0" t="n">
        <v>30757</v>
      </c>
      <c r="J289" s="0" t="n">
        <v>9.4</v>
      </c>
      <c r="K289" s="0" t="n">
        <v>13</v>
      </c>
      <c r="L289" s="0" t="n">
        <v>214</v>
      </c>
      <c r="M289" s="0" t="s">
        <v>35</v>
      </c>
      <c r="N289" s="0" t="s">
        <v>55</v>
      </c>
    </row>
    <row r="290" customFormat="false" ht="15" hidden="false" customHeight="false" outlineLevel="0" collapsed="false">
      <c r="A290" s="0" t="s">
        <v>847</v>
      </c>
      <c r="B290" s="0" t="s">
        <v>848</v>
      </c>
      <c r="C290" s="0" t="s">
        <v>360</v>
      </c>
      <c r="D290" s="0" t="s">
        <v>39</v>
      </c>
      <c r="E290" s="0" t="s">
        <v>241</v>
      </c>
      <c r="F290" s="0" t="s">
        <v>134</v>
      </c>
      <c r="G290" s="0" t="n">
        <v>3027731</v>
      </c>
      <c r="H290" s="0" t="n">
        <v>117532</v>
      </c>
      <c r="I290" s="0" t="n">
        <v>42283</v>
      </c>
      <c r="J290" s="0" t="n">
        <v>9.5</v>
      </c>
      <c r="K290" s="0" t="n">
        <v>9</v>
      </c>
      <c r="L290" s="0" t="n">
        <v>709</v>
      </c>
      <c r="M290" s="0" t="s">
        <v>35</v>
      </c>
      <c r="N290" s="0" t="s">
        <v>55</v>
      </c>
    </row>
    <row r="291" customFormat="false" ht="15" hidden="false" customHeight="false" outlineLevel="0" collapsed="false">
      <c r="A291" s="0" t="s">
        <v>849</v>
      </c>
      <c r="B291" s="0" t="s">
        <v>850</v>
      </c>
      <c r="C291" s="0" t="s">
        <v>327</v>
      </c>
      <c r="D291" s="0" t="s">
        <v>89</v>
      </c>
      <c r="E291" s="0" t="s">
        <v>238</v>
      </c>
      <c r="F291" s="0" t="s">
        <v>116</v>
      </c>
      <c r="G291" s="0" t="n">
        <v>1563107</v>
      </c>
      <c r="H291" s="0" t="n">
        <v>50750</v>
      </c>
      <c r="I291" s="0" t="n">
        <v>11470</v>
      </c>
      <c r="J291" s="0" t="n">
        <v>34.7</v>
      </c>
      <c r="K291" s="0" t="n">
        <v>25</v>
      </c>
      <c r="L291" s="0" t="n">
        <v>306</v>
      </c>
      <c r="M291" s="0" t="s">
        <v>54</v>
      </c>
      <c r="N291" s="0" t="s">
        <v>169</v>
      </c>
    </row>
    <row r="292" customFormat="false" ht="15" hidden="false" customHeight="false" outlineLevel="0" collapsed="false">
      <c r="A292" s="0" t="s">
        <v>851</v>
      </c>
      <c r="B292" s="0" t="s">
        <v>359</v>
      </c>
      <c r="C292" s="0" t="s">
        <v>523</v>
      </c>
      <c r="D292" s="0" t="s">
        <v>25</v>
      </c>
      <c r="E292" s="0" t="s">
        <v>586</v>
      </c>
      <c r="F292" s="0" t="s">
        <v>177</v>
      </c>
      <c r="G292" s="0" t="n">
        <v>4915926</v>
      </c>
      <c r="H292" s="0" t="n">
        <v>201059</v>
      </c>
      <c r="I292" s="0" t="n">
        <v>46715</v>
      </c>
      <c r="J292" s="0" t="n">
        <v>48.1</v>
      </c>
      <c r="K292" s="0" t="n">
        <v>9</v>
      </c>
      <c r="L292" s="0" t="n">
        <v>151</v>
      </c>
      <c r="M292" s="0" t="s">
        <v>35</v>
      </c>
      <c r="N292" s="0" t="s">
        <v>122</v>
      </c>
    </row>
    <row r="293" customFormat="false" ht="15" hidden="false" customHeight="false" outlineLevel="0" collapsed="false">
      <c r="A293" s="0" t="s">
        <v>852</v>
      </c>
      <c r="B293" s="0" t="s">
        <v>853</v>
      </c>
      <c r="C293" s="0" t="s">
        <v>753</v>
      </c>
      <c r="D293" s="0" t="s">
        <v>65</v>
      </c>
      <c r="E293" s="0" t="s">
        <v>220</v>
      </c>
      <c r="F293" s="0" t="s">
        <v>310</v>
      </c>
      <c r="G293" s="0" t="n">
        <v>2126672</v>
      </c>
      <c r="H293" s="0" t="n">
        <v>70991</v>
      </c>
      <c r="I293" s="0" t="n">
        <v>20529</v>
      </c>
      <c r="J293" s="0" t="n">
        <v>42.5</v>
      </c>
      <c r="K293" s="0" t="n">
        <v>22</v>
      </c>
      <c r="L293" s="0" t="n">
        <v>417</v>
      </c>
      <c r="M293" s="0" t="s">
        <v>20</v>
      </c>
      <c r="N293" s="0" t="s">
        <v>169</v>
      </c>
    </row>
    <row r="294" customFormat="false" ht="15" hidden="false" customHeight="false" outlineLevel="0" collapsed="false">
      <c r="A294" s="0" t="s">
        <v>854</v>
      </c>
      <c r="B294" s="0" t="s">
        <v>855</v>
      </c>
      <c r="C294" s="0" t="s">
        <v>720</v>
      </c>
      <c r="D294" s="0" t="s">
        <v>89</v>
      </c>
      <c r="E294" s="0" t="s">
        <v>111</v>
      </c>
      <c r="F294" s="0" t="s">
        <v>357</v>
      </c>
      <c r="G294" s="0" t="n">
        <v>1666451</v>
      </c>
      <c r="H294" s="0" t="n">
        <v>49350</v>
      </c>
      <c r="I294" s="0" t="n">
        <v>16414</v>
      </c>
      <c r="J294" s="0" t="n">
        <v>56</v>
      </c>
      <c r="K294" s="0" t="n">
        <v>14</v>
      </c>
      <c r="L294" s="0" t="n">
        <v>649</v>
      </c>
      <c r="M294" s="0" t="s">
        <v>20</v>
      </c>
      <c r="N294" s="0" t="s">
        <v>81</v>
      </c>
    </row>
    <row r="295" customFormat="false" ht="15" hidden="false" customHeight="false" outlineLevel="0" collapsed="false">
      <c r="A295" s="0" t="s">
        <v>856</v>
      </c>
      <c r="B295" s="0" t="s">
        <v>743</v>
      </c>
      <c r="C295" s="0" t="s">
        <v>703</v>
      </c>
      <c r="D295" s="0" t="s">
        <v>89</v>
      </c>
      <c r="E295" s="0" t="s">
        <v>26</v>
      </c>
      <c r="F295" s="0" t="s">
        <v>27</v>
      </c>
      <c r="G295" s="0" t="n">
        <v>994556</v>
      </c>
      <c r="H295" s="0" t="n">
        <v>30598</v>
      </c>
      <c r="I295" s="0" t="n">
        <v>9622</v>
      </c>
      <c r="J295" s="0" t="n">
        <v>57.9</v>
      </c>
      <c r="K295" s="0" t="n">
        <v>16</v>
      </c>
      <c r="L295" s="0" t="n">
        <v>485</v>
      </c>
      <c r="M295" s="0" t="s">
        <v>20</v>
      </c>
      <c r="N295" s="0" t="s">
        <v>140</v>
      </c>
    </row>
    <row r="296" customFormat="false" ht="15" hidden="false" customHeight="false" outlineLevel="0" collapsed="false">
      <c r="A296" s="0" t="s">
        <v>857</v>
      </c>
      <c r="B296" s="0" t="s">
        <v>858</v>
      </c>
      <c r="C296" s="0" t="s">
        <v>784</v>
      </c>
      <c r="D296" s="0" t="s">
        <v>59</v>
      </c>
      <c r="E296" s="0" t="s">
        <v>440</v>
      </c>
      <c r="F296" s="0" t="s">
        <v>164</v>
      </c>
      <c r="G296" s="0" t="n">
        <v>2898534</v>
      </c>
      <c r="H296" s="0" t="n">
        <v>124091</v>
      </c>
      <c r="I296" s="0" t="n">
        <v>41690</v>
      </c>
      <c r="J296" s="0" t="n">
        <v>56.7</v>
      </c>
      <c r="K296" s="0" t="n">
        <v>7</v>
      </c>
      <c r="L296" s="0" t="n">
        <v>707</v>
      </c>
      <c r="M296" s="0" t="s">
        <v>20</v>
      </c>
      <c r="N296" s="0" t="s">
        <v>102</v>
      </c>
    </row>
    <row r="297" customFormat="false" ht="15" hidden="false" customHeight="false" outlineLevel="0" collapsed="false">
      <c r="A297" s="0" t="s">
        <v>859</v>
      </c>
      <c r="B297" s="0" t="s">
        <v>455</v>
      </c>
      <c r="C297" s="0" t="s">
        <v>630</v>
      </c>
      <c r="D297" s="0" t="s">
        <v>89</v>
      </c>
      <c r="E297" s="0" t="s">
        <v>770</v>
      </c>
      <c r="F297" s="0" t="s">
        <v>574</v>
      </c>
      <c r="G297" s="0" t="n">
        <v>1328044</v>
      </c>
      <c r="H297" s="0" t="n">
        <v>27490</v>
      </c>
      <c r="I297" s="0" t="n">
        <v>7533</v>
      </c>
      <c r="J297" s="0" t="n">
        <v>18.6</v>
      </c>
      <c r="K297" s="0" t="n">
        <v>12</v>
      </c>
      <c r="L297" s="0" t="n">
        <v>615</v>
      </c>
      <c r="M297" s="0" t="s">
        <v>20</v>
      </c>
      <c r="N297" s="0" t="s">
        <v>81</v>
      </c>
    </row>
    <row r="298" customFormat="false" ht="15" hidden="false" customHeight="false" outlineLevel="0" collapsed="false">
      <c r="A298" s="0" t="s">
        <v>860</v>
      </c>
      <c r="B298" s="0" t="s">
        <v>861</v>
      </c>
      <c r="C298" s="0" t="s">
        <v>714</v>
      </c>
      <c r="D298" s="0" t="s">
        <v>32</v>
      </c>
      <c r="E298" s="0" t="s">
        <v>18</v>
      </c>
      <c r="F298" s="0" t="s">
        <v>19</v>
      </c>
      <c r="G298" s="0" t="n">
        <v>6279485</v>
      </c>
      <c r="H298" s="0" t="n">
        <v>210488</v>
      </c>
      <c r="I298" s="0" t="n">
        <v>66930</v>
      </c>
      <c r="J298" s="0" t="n">
        <v>7.6</v>
      </c>
      <c r="K298" s="0" t="n">
        <v>15</v>
      </c>
      <c r="L298" s="0" t="n">
        <v>518</v>
      </c>
      <c r="M298" s="0" t="s">
        <v>20</v>
      </c>
      <c r="N298" s="0" t="s">
        <v>169</v>
      </c>
    </row>
    <row r="299" customFormat="false" ht="15" hidden="false" customHeight="false" outlineLevel="0" collapsed="false">
      <c r="A299" s="0" t="s">
        <v>862</v>
      </c>
      <c r="B299" s="0" t="s">
        <v>660</v>
      </c>
      <c r="C299" s="0" t="s">
        <v>784</v>
      </c>
      <c r="D299" s="0" t="s">
        <v>65</v>
      </c>
      <c r="E299" s="0" t="s">
        <v>72</v>
      </c>
      <c r="F299" s="0" t="s">
        <v>34</v>
      </c>
      <c r="G299" s="0" t="n">
        <v>1947545</v>
      </c>
      <c r="H299" s="0" t="n">
        <v>58699</v>
      </c>
      <c r="I299" s="0" t="n">
        <v>17385</v>
      </c>
      <c r="J299" s="0" t="n">
        <v>32.5</v>
      </c>
      <c r="K299" s="0" t="n">
        <v>6</v>
      </c>
      <c r="L299" s="0" t="n">
        <v>584</v>
      </c>
      <c r="M299" s="0" t="s">
        <v>35</v>
      </c>
      <c r="N299" s="0" t="s">
        <v>55</v>
      </c>
    </row>
    <row r="300" customFormat="false" ht="15" hidden="false" customHeight="false" outlineLevel="0" collapsed="false">
      <c r="A300" s="0" t="s">
        <v>863</v>
      </c>
      <c r="B300" s="0" t="s">
        <v>864</v>
      </c>
      <c r="C300" s="0" t="s">
        <v>84</v>
      </c>
      <c r="D300" s="0" t="s">
        <v>32</v>
      </c>
      <c r="E300" s="0" t="s">
        <v>393</v>
      </c>
      <c r="F300" s="0" t="s">
        <v>306</v>
      </c>
      <c r="G300" s="0" t="n">
        <v>3994435</v>
      </c>
      <c r="H300" s="0" t="n">
        <v>116241</v>
      </c>
      <c r="I300" s="0" t="n">
        <v>36967</v>
      </c>
      <c r="J300" s="0" t="n">
        <v>45.5</v>
      </c>
      <c r="K300" s="0" t="n">
        <v>8</v>
      </c>
      <c r="L300" s="0" t="n">
        <v>336</v>
      </c>
      <c r="M300" s="0" t="s">
        <v>35</v>
      </c>
      <c r="N300" s="0" t="s">
        <v>28</v>
      </c>
    </row>
    <row r="301" customFormat="false" ht="15" hidden="false" customHeight="false" outlineLevel="0" collapsed="false">
      <c r="A301" s="0" t="s">
        <v>865</v>
      </c>
      <c r="B301" s="0" t="s">
        <v>866</v>
      </c>
      <c r="C301" s="0" t="s">
        <v>867</v>
      </c>
      <c r="D301" s="0" t="s">
        <v>71</v>
      </c>
      <c r="E301" s="0" t="s">
        <v>95</v>
      </c>
      <c r="F301" s="0" t="s">
        <v>379</v>
      </c>
      <c r="G301" s="0" t="n">
        <v>1700952</v>
      </c>
      <c r="H301" s="0" t="n">
        <v>36004</v>
      </c>
      <c r="I301" s="0" t="n">
        <v>12391</v>
      </c>
      <c r="J301" s="0" t="n">
        <v>55.6</v>
      </c>
      <c r="K301" s="0" t="n">
        <v>12</v>
      </c>
      <c r="L301" s="0" t="n">
        <v>255</v>
      </c>
      <c r="M301" s="0" t="s">
        <v>54</v>
      </c>
      <c r="N301" s="0" t="s">
        <v>140</v>
      </c>
    </row>
    <row r="302" customFormat="false" ht="15" hidden="false" customHeight="false" outlineLevel="0" collapsed="false">
      <c r="A302" s="0" t="s">
        <v>868</v>
      </c>
      <c r="B302" s="0" t="s">
        <v>869</v>
      </c>
      <c r="C302" s="0" t="s">
        <v>247</v>
      </c>
      <c r="D302" s="0" t="s">
        <v>59</v>
      </c>
      <c r="E302" s="0" t="s">
        <v>389</v>
      </c>
      <c r="F302" s="0" t="s">
        <v>116</v>
      </c>
      <c r="G302" s="0" t="n">
        <v>1679454</v>
      </c>
      <c r="H302" s="0" t="n">
        <v>76291</v>
      </c>
      <c r="I302" s="0" t="n">
        <v>29769</v>
      </c>
      <c r="J302" s="0" t="n">
        <v>57.4</v>
      </c>
      <c r="K302" s="0" t="n">
        <v>21</v>
      </c>
      <c r="L302" s="0" t="n">
        <v>150</v>
      </c>
      <c r="M302" s="0" t="s">
        <v>20</v>
      </c>
      <c r="N302" s="0" t="s">
        <v>28</v>
      </c>
    </row>
    <row r="303" customFormat="false" ht="15" hidden="false" customHeight="false" outlineLevel="0" collapsed="false">
      <c r="A303" s="0" t="s">
        <v>870</v>
      </c>
      <c r="B303" s="0" t="s">
        <v>871</v>
      </c>
      <c r="C303" s="0" t="s">
        <v>808</v>
      </c>
      <c r="D303" s="0" t="s">
        <v>89</v>
      </c>
      <c r="E303" s="0" t="s">
        <v>233</v>
      </c>
      <c r="F303" s="0" t="s">
        <v>19</v>
      </c>
      <c r="G303" s="0" t="n">
        <v>1431876</v>
      </c>
      <c r="H303" s="0" t="n">
        <v>42311</v>
      </c>
      <c r="I303" s="0" t="n">
        <v>14030</v>
      </c>
      <c r="J303" s="0" t="n">
        <v>15.4</v>
      </c>
      <c r="K303" s="0" t="n">
        <v>6</v>
      </c>
      <c r="L303" s="0" t="n">
        <v>304</v>
      </c>
      <c r="M303" s="0" t="s">
        <v>54</v>
      </c>
      <c r="N303" s="0" t="s">
        <v>21</v>
      </c>
    </row>
    <row r="304" customFormat="false" ht="15" hidden="false" customHeight="false" outlineLevel="0" collapsed="false">
      <c r="A304" s="0" t="s">
        <v>872</v>
      </c>
      <c r="B304" s="0" t="s">
        <v>623</v>
      </c>
      <c r="C304" s="0" t="s">
        <v>701</v>
      </c>
      <c r="D304" s="0" t="s">
        <v>65</v>
      </c>
      <c r="E304" s="0" t="s">
        <v>153</v>
      </c>
      <c r="F304" s="0" t="s">
        <v>666</v>
      </c>
      <c r="G304" s="0" t="n">
        <v>1171252</v>
      </c>
      <c r="H304" s="0" t="n">
        <v>47270</v>
      </c>
      <c r="I304" s="0" t="n">
        <v>13373</v>
      </c>
      <c r="J304" s="0" t="n">
        <v>48.9</v>
      </c>
      <c r="K304" s="0" t="n">
        <v>5</v>
      </c>
      <c r="L304" s="0" t="n">
        <v>336</v>
      </c>
      <c r="M304" s="0" t="s">
        <v>35</v>
      </c>
      <c r="N304" s="0" t="s">
        <v>102</v>
      </c>
    </row>
    <row r="305" customFormat="false" ht="15" hidden="false" customHeight="false" outlineLevel="0" collapsed="false">
      <c r="A305" s="0" t="s">
        <v>873</v>
      </c>
      <c r="B305" s="0" t="s">
        <v>874</v>
      </c>
      <c r="C305" s="0" t="s">
        <v>483</v>
      </c>
      <c r="D305" s="0" t="s">
        <v>59</v>
      </c>
      <c r="E305" s="0" t="s">
        <v>357</v>
      </c>
      <c r="F305" s="0" t="s">
        <v>270</v>
      </c>
      <c r="G305" s="0" t="n">
        <v>2560958</v>
      </c>
      <c r="H305" s="0" t="n">
        <v>141946</v>
      </c>
      <c r="I305" s="0" t="n">
        <v>38615</v>
      </c>
      <c r="J305" s="0" t="n">
        <v>34</v>
      </c>
      <c r="K305" s="0" t="n">
        <v>10</v>
      </c>
      <c r="L305" s="0" t="n">
        <v>666</v>
      </c>
      <c r="M305" s="0" t="s">
        <v>54</v>
      </c>
      <c r="N305" s="0" t="s">
        <v>122</v>
      </c>
    </row>
    <row r="306" customFormat="false" ht="15" hidden="false" customHeight="false" outlineLevel="0" collapsed="false">
      <c r="A306" s="0" t="s">
        <v>875</v>
      </c>
      <c r="B306" s="0" t="s">
        <v>142</v>
      </c>
      <c r="C306" s="0" t="s">
        <v>24</v>
      </c>
      <c r="D306" s="0" t="s">
        <v>144</v>
      </c>
      <c r="E306" s="0" t="s">
        <v>440</v>
      </c>
      <c r="F306" s="0" t="s">
        <v>159</v>
      </c>
      <c r="G306" s="0" t="n">
        <v>1813082</v>
      </c>
      <c r="H306" s="0" t="n">
        <v>44074</v>
      </c>
      <c r="I306" s="0" t="n">
        <v>8465</v>
      </c>
      <c r="J306" s="0" t="n">
        <v>11.6</v>
      </c>
      <c r="K306" s="0" t="n">
        <v>10</v>
      </c>
      <c r="L306" s="0" t="n">
        <v>314</v>
      </c>
      <c r="M306" s="0" t="s">
        <v>54</v>
      </c>
      <c r="N306" s="0" t="s">
        <v>74</v>
      </c>
    </row>
    <row r="307" customFormat="false" ht="15" hidden="false" customHeight="false" outlineLevel="0" collapsed="false">
      <c r="A307" s="0" t="s">
        <v>876</v>
      </c>
      <c r="B307" s="0" t="s">
        <v>877</v>
      </c>
      <c r="C307" s="0" t="s">
        <v>471</v>
      </c>
      <c r="D307" s="0" t="s">
        <v>71</v>
      </c>
      <c r="E307" s="0" t="s">
        <v>85</v>
      </c>
      <c r="F307" s="0" t="s">
        <v>60</v>
      </c>
      <c r="G307" s="0" t="n">
        <v>1288148</v>
      </c>
      <c r="H307" s="0" t="n">
        <v>27494</v>
      </c>
      <c r="I307" s="0" t="n">
        <v>8602</v>
      </c>
      <c r="J307" s="0" t="n">
        <v>40</v>
      </c>
      <c r="K307" s="0" t="n">
        <v>8</v>
      </c>
      <c r="L307" s="0" t="n">
        <v>690</v>
      </c>
      <c r="M307" s="0" t="s">
        <v>54</v>
      </c>
      <c r="N307" s="0" t="s">
        <v>42</v>
      </c>
    </row>
    <row r="308" customFormat="false" ht="15" hidden="false" customHeight="false" outlineLevel="0" collapsed="false">
      <c r="A308" s="0" t="s">
        <v>878</v>
      </c>
      <c r="B308" s="0" t="s">
        <v>879</v>
      </c>
      <c r="C308" s="0" t="s">
        <v>338</v>
      </c>
      <c r="D308" s="0" t="s">
        <v>25</v>
      </c>
      <c r="E308" s="0" t="s">
        <v>265</v>
      </c>
      <c r="F308" s="0" t="s">
        <v>134</v>
      </c>
      <c r="G308" s="0" t="n">
        <v>1930203</v>
      </c>
      <c r="H308" s="0" t="n">
        <v>46724</v>
      </c>
      <c r="I308" s="0" t="n">
        <v>13195</v>
      </c>
      <c r="J308" s="0" t="n">
        <v>23.3</v>
      </c>
      <c r="K308" s="0" t="n">
        <v>14</v>
      </c>
      <c r="L308" s="0" t="n">
        <v>713</v>
      </c>
      <c r="M308" s="0" t="s">
        <v>20</v>
      </c>
      <c r="N308" s="0" t="s">
        <v>96</v>
      </c>
    </row>
    <row r="309" customFormat="false" ht="15" hidden="false" customHeight="false" outlineLevel="0" collapsed="false">
      <c r="A309" s="0" t="s">
        <v>880</v>
      </c>
      <c r="B309" s="0" t="s">
        <v>466</v>
      </c>
      <c r="C309" s="0" t="s">
        <v>572</v>
      </c>
      <c r="D309" s="0" t="s">
        <v>39</v>
      </c>
      <c r="E309" s="0" t="s">
        <v>181</v>
      </c>
      <c r="F309" s="0" t="s">
        <v>182</v>
      </c>
      <c r="G309" s="0" t="n">
        <v>1473375</v>
      </c>
      <c r="H309" s="0" t="n">
        <v>52845</v>
      </c>
      <c r="I309" s="0" t="n">
        <v>12319</v>
      </c>
      <c r="J309" s="0" t="n">
        <v>32.1</v>
      </c>
      <c r="K309" s="0" t="n">
        <v>20</v>
      </c>
      <c r="L309" s="0" t="n">
        <v>520</v>
      </c>
      <c r="M309" s="0" t="s">
        <v>54</v>
      </c>
      <c r="N309" s="0" t="s">
        <v>96</v>
      </c>
    </row>
    <row r="310" customFormat="false" ht="15" hidden="false" customHeight="false" outlineLevel="0" collapsed="false">
      <c r="A310" s="0" t="s">
        <v>881</v>
      </c>
      <c r="B310" s="0" t="s">
        <v>331</v>
      </c>
      <c r="C310" s="0" t="s">
        <v>350</v>
      </c>
      <c r="D310" s="0" t="s">
        <v>109</v>
      </c>
      <c r="E310" s="0" t="s">
        <v>41</v>
      </c>
      <c r="F310" s="0" t="s">
        <v>380</v>
      </c>
      <c r="G310" s="0" t="n">
        <v>977821</v>
      </c>
      <c r="H310" s="0" t="n">
        <v>27546</v>
      </c>
      <c r="I310" s="0" t="n">
        <v>8640</v>
      </c>
      <c r="J310" s="0" t="n">
        <v>3.6</v>
      </c>
      <c r="K310" s="0" t="n">
        <v>11</v>
      </c>
      <c r="L310" s="0" t="n">
        <v>416</v>
      </c>
      <c r="M310" s="0" t="s">
        <v>20</v>
      </c>
      <c r="N310" s="0" t="s">
        <v>55</v>
      </c>
    </row>
    <row r="311" customFormat="false" ht="15" hidden="false" customHeight="false" outlineLevel="0" collapsed="false">
      <c r="A311" s="0" t="s">
        <v>882</v>
      </c>
      <c r="B311" s="0" t="s">
        <v>400</v>
      </c>
      <c r="C311" s="0" t="s">
        <v>24</v>
      </c>
      <c r="D311" s="0" t="s">
        <v>109</v>
      </c>
      <c r="E311" s="0" t="s">
        <v>164</v>
      </c>
      <c r="F311" s="0" t="s">
        <v>279</v>
      </c>
      <c r="G311" s="0" t="n">
        <v>1293715</v>
      </c>
      <c r="H311" s="0" t="n">
        <v>29674</v>
      </c>
      <c r="I311" s="0" t="n">
        <v>10061</v>
      </c>
      <c r="J311" s="0" t="n">
        <v>44.6</v>
      </c>
      <c r="K311" s="0" t="n">
        <v>14</v>
      </c>
      <c r="L311" s="0" t="n">
        <v>751</v>
      </c>
      <c r="M311" s="0" t="s">
        <v>20</v>
      </c>
      <c r="N311" s="0" t="s">
        <v>21</v>
      </c>
    </row>
    <row r="312" customFormat="false" ht="15" hidden="false" customHeight="false" outlineLevel="0" collapsed="false">
      <c r="A312" s="0" t="s">
        <v>883</v>
      </c>
      <c r="B312" s="0" t="s">
        <v>884</v>
      </c>
      <c r="C312" s="0" t="s">
        <v>749</v>
      </c>
      <c r="D312" s="0" t="s">
        <v>46</v>
      </c>
      <c r="E312" s="0" t="s">
        <v>33</v>
      </c>
      <c r="F312" s="0" t="s">
        <v>72</v>
      </c>
      <c r="G312" s="0" t="n">
        <v>1617907</v>
      </c>
      <c r="H312" s="0" t="n">
        <v>45887</v>
      </c>
      <c r="I312" s="0" t="n">
        <v>15344</v>
      </c>
      <c r="J312" s="0" t="n">
        <v>36.5</v>
      </c>
      <c r="K312" s="0" t="n">
        <v>8</v>
      </c>
      <c r="L312" s="0" t="n">
        <v>442</v>
      </c>
      <c r="M312" s="0" t="s">
        <v>20</v>
      </c>
      <c r="N312" s="0" t="s">
        <v>42</v>
      </c>
    </row>
    <row r="313" customFormat="false" ht="15" hidden="false" customHeight="false" outlineLevel="0" collapsed="false">
      <c r="A313" s="0" t="s">
        <v>885</v>
      </c>
      <c r="B313" s="0" t="s">
        <v>520</v>
      </c>
      <c r="C313" s="0" t="s">
        <v>401</v>
      </c>
      <c r="D313" s="0" t="s">
        <v>89</v>
      </c>
      <c r="E313" s="0" t="s">
        <v>770</v>
      </c>
      <c r="F313" s="0" t="s">
        <v>574</v>
      </c>
      <c r="G313" s="0" t="n">
        <v>2022297</v>
      </c>
      <c r="H313" s="0" t="n">
        <v>43339</v>
      </c>
      <c r="I313" s="0" t="n">
        <v>13485</v>
      </c>
      <c r="J313" s="0" t="n">
        <v>46.1</v>
      </c>
      <c r="K313" s="0" t="n">
        <v>14</v>
      </c>
      <c r="L313" s="0" t="n">
        <v>707</v>
      </c>
      <c r="M313" s="0" t="s">
        <v>35</v>
      </c>
      <c r="N313" s="0" t="s">
        <v>122</v>
      </c>
    </row>
    <row r="314" customFormat="false" ht="15" hidden="false" customHeight="false" outlineLevel="0" collapsed="false">
      <c r="A314" s="0" t="s">
        <v>886</v>
      </c>
      <c r="B314" s="0" t="s">
        <v>261</v>
      </c>
      <c r="C314" s="0" t="s">
        <v>256</v>
      </c>
      <c r="D314" s="0" t="s">
        <v>71</v>
      </c>
      <c r="E314" s="0" t="s">
        <v>252</v>
      </c>
      <c r="F314" s="0" t="s">
        <v>145</v>
      </c>
      <c r="G314" s="0" t="n">
        <v>1527500</v>
      </c>
      <c r="H314" s="0" t="n">
        <v>38257</v>
      </c>
      <c r="I314" s="0" t="n">
        <v>13910</v>
      </c>
      <c r="J314" s="0" t="n">
        <v>33.8</v>
      </c>
      <c r="K314" s="0" t="n">
        <v>21</v>
      </c>
      <c r="L314" s="0" t="n">
        <v>187</v>
      </c>
      <c r="M314" s="0" t="s">
        <v>20</v>
      </c>
      <c r="N314" s="0" t="s">
        <v>140</v>
      </c>
    </row>
    <row r="315" customFormat="false" ht="15" hidden="false" customHeight="false" outlineLevel="0" collapsed="false">
      <c r="A315" s="0" t="s">
        <v>887</v>
      </c>
      <c r="B315" s="0" t="s">
        <v>829</v>
      </c>
      <c r="C315" s="0" t="s">
        <v>661</v>
      </c>
      <c r="D315" s="0" t="s">
        <v>65</v>
      </c>
      <c r="E315" s="0" t="s">
        <v>130</v>
      </c>
      <c r="F315" s="0" t="s">
        <v>126</v>
      </c>
      <c r="G315" s="0" t="n">
        <v>1501774</v>
      </c>
      <c r="H315" s="0" t="n">
        <v>50075</v>
      </c>
      <c r="I315" s="0" t="n">
        <v>15537</v>
      </c>
      <c r="J315" s="0" t="n">
        <v>36.6</v>
      </c>
      <c r="K315" s="0" t="n">
        <v>5</v>
      </c>
      <c r="L315" s="0" t="n">
        <v>377</v>
      </c>
      <c r="M315" s="0" t="s">
        <v>20</v>
      </c>
      <c r="N315" s="0" t="s">
        <v>42</v>
      </c>
    </row>
    <row r="316" customFormat="false" ht="15" hidden="false" customHeight="false" outlineLevel="0" collapsed="false">
      <c r="A316" s="0" t="s">
        <v>888</v>
      </c>
      <c r="B316" s="0" t="s">
        <v>889</v>
      </c>
      <c r="C316" s="0" t="s">
        <v>212</v>
      </c>
      <c r="D316" s="0" t="s">
        <v>78</v>
      </c>
      <c r="E316" s="0" t="s">
        <v>562</v>
      </c>
      <c r="F316" s="0" t="s">
        <v>422</v>
      </c>
      <c r="G316" s="0" t="n">
        <v>2172866</v>
      </c>
      <c r="H316" s="0" t="n">
        <v>101707</v>
      </c>
      <c r="I316" s="0" t="n">
        <v>22228</v>
      </c>
      <c r="J316" s="0" t="n">
        <v>45.9</v>
      </c>
      <c r="K316" s="0" t="n">
        <v>22</v>
      </c>
      <c r="L316" s="0" t="n">
        <v>459</v>
      </c>
      <c r="M316" s="0" t="s">
        <v>54</v>
      </c>
      <c r="N316" s="0" t="s">
        <v>67</v>
      </c>
    </row>
    <row r="317" customFormat="false" ht="15" hidden="false" customHeight="false" outlineLevel="0" collapsed="false">
      <c r="A317" s="0" t="s">
        <v>890</v>
      </c>
      <c r="B317" s="0" t="s">
        <v>891</v>
      </c>
      <c r="C317" s="0" t="s">
        <v>88</v>
      </c>
      <c r="D317" s="0" t="s">
        <v>65</v>
      </c>
      <c r="E317" s="0" t="s">
        <v>279</v>
      </c>
      <c r="F317" s="0" t="s">
        <v>85</v>
      </c>
      <c r="G317" s="0" t="n">
        <v>2484246</v>
      </c>
      <c r="H317" s="0" t="n">
        <v>80768</v>
      </c>
      <c r="I317" s="0" t="n">
        <v>27628</v>
      </c>
      <c r="J317" s="0" t="n">
        <v>30</v>
      </c>
      <c r="K317" s="0" t="n">
        <v>17</v>
      </c>
      <c r="L317" s="0" t="n">
        <v>427</v>
      </c>
      <c r="M317" s="0" t="s">
        <v>20</v>
      </c>
      <c r="N317" s="0" t="s">
        <v>42</v>
      </c>
    </row>
    <row r="318" customFormat="false" ht="15" hidden="false" customHeight="false" outlineLevel="0" collapsed="false">
      <c r="A318" s="0" t="s">
        <v>892</v>
      </c>
      <c r="B318" s="0" t="s">
        <v>308</v>
      </c>
      <c r="C318" s="0" t="s">
        <v>486</v>
      </c>
      <c r="D318" s="0" t="s">
        <v>65</v>
      </c>
      <c r="E318" s="0" t="s">
        <v>574</v>
      </c>
      <c r="F318" s="0" t="s">
        <v>111</v>
      </c>
      <c r="G318" s="0" t="n">
        <v>2456678</v>
      </c>
      <c r="H318" s="0" t="n">
        <v>82468</v>
      </c>
      <c r="I318" s="0" t="n">
        <v>22292</v>
      </c>
      <c r="J318" s="0" t="n">
        <v>34.4</v>
      </c>
      <c r="K318" s="0" t="n">
        <v>25</v>
      </c>
      <c r="L318" s="0" t="n">
        <v>219</v>
      </c>
      <c r="M318" s="0" t="s">
        <v>54</v>
      </c>
      <c r="N318" s="0" t="s">
        <v>102</v>
      </c>
    </row>
    <row r="319" customFormat="false" ht="15" hidden="false" customHeight="false" outlineLevel="0" collapsed="false">
      <c r="A319" s="0" t="s">
        <v>893</v>
      </c>
      <c r="B319" s="0" t="s">
        <v>894</v>
      </c>
      <c r="C319" s="0" t="s">
        <v>298</v>
      </c>
      <c r="D319" s="0" t="s">
        <v>25</v>
      </c>
      <c r="E319" s="0" t="s">
        <v>163</v>
      </c>
      <c r="F319" s="0" t="s">
        <v>229</v>
      </c>
      <c r="G319" s="0" t="n">
        <v>1775897</v>
      </c>
      <c r="H319" s="0" t="n">
        <v>51953</v>
      </c>
      <c r="I319" s="0" t="n">
        <v>11554</v>
      </c>
      <c r="J319" s="0" t="n">
        <v>45.6</v>
      </c>
      <c r="K319" s="0" t="n">
        <v>21</v>
      </c>
      <c r="L319" s="0" t="n">
        <v>746</v>
      </c>
      <c r="M319" s="0" t="s">
        <v>20</v>
      </c>
      <c r="N319" s="0" t="s">
        <v>102</v>
      </c>
    </row>
    <row r="320" customFormat="false" ht="15" hidden="false" customHeight="false" outlineLevel="0" collapsed="false">
      <c r="A320" s="0" t="s">
        <v>895</v>
      </c>
      <c r="B320" s="0" t="s">
        <v>434</v>
      </c>
      <c r="C320" s="0" t="s">
        <v>784</v>
      </c>
      <c r="D320" s="0" t="s">
        <v>32</v>
      </c>
      <c r="E320" s="0" t="s">
        <v>284</v>
      </c>
      <c r="F320" s="0" t="s">
        <v>422</v>
      </c>
      <c r="G320" s="0" t="n">
        <v>2788600</v>
      </c>
      <c r="H320" s="0" t="n">
        <v>90759</v>
      </c>
      <c r="I320" s="0" t="n">
        <v>36068</v>
      </c>
      <c r="J320" s="0" t="n">
        <v>34.1</v>
      </c>
      <c r="K320" s="0" t="n">
        <v>15</v>
      </c>
      <c r="L320" s="0" t="n">
        <v>179</v>
      </c>
      <c r="M320" s="0" t="s">
        <v>20</v>
      </c>
      <c r="N320" s="0" t="s">
        <v>42</v>
      </c>
    </row>
    <row r="321" customFormat="false" ht="15" hidden="false" customHeight="false" outlineLevel="0" collapsed="false">
      <c r="A321" s="0" t="s">
        <v>896</v>
      </c>
      <c r="B321" s="0" t="s">
        <v>897</v>
      </c>
      <c r="C321" s="0" t="s">
        <v>175</v>
      </c>
      <c r="D321" s="0" t="s">
        <v>39</v>
      </c>
      <c r="E321" s="0" t="s">
        <v>299</v>
      </c>
      <c r="F321" s="0" t="s">
        <v>788</v>
      </c>
      <c r="G321" s="0" t="n">
        <v>2749002</v>
      </c>
      <c r="H321" s="0" t="n">
        <v>141317</v>
      </c>
      <c r="I321" s="0" t="n">
        <v>43063</v>
      </c>
      <c r="J321" s="0" t="n">
        <v>19.8</v>
      </c>
      <c r="K321" s="0" t="n">
        <v>7</v>
      </c>
      <c r="L321" s="0" t="n">
        <v>622</v>
      </c>
      <c r="M321" s="0" t="s">
        <v>35</v>
      </c>
      <c r="N321" s="0" t="s">
        <v>42</v>
      </c>
    </row>
    <row r="322" customFormat="false" ht="15" hidden="false" customHeight="false" outlineLevel="0" collapsed="false">
      <c r="A322" s="0" t="s">
        <v>898</v>
      </c>
      <c r="B322" s="0" t="s">
        <v>297</v>
      </c>
      <c r="C322" s="0" t="s">
        <v>899</v>
      </c>
      <c r="D322" s="0" t="s">
        <v>17</v>
      </c>
      <c r="E322" s="0" t="s">
        <v>95</v>
      </c>
      <c r="F322" s="0" t="s">
        <v>379</v>
      </c>
      <c r="G322" s="0" t="n">
        <v>2039892</v>
      </c>
      <c r="H322" s="0" t="n">
        <v>64860</v>
      </c>
      <c r="I322" s="0" t="n">
        <v>19247</v>
      </c>
      <c r="J322" s="0" t="n">
        <v>10.7</v>
      </c>
      <c r="K322" s="0" t="n">
        <v>20</v>
      </c>
      <c r="L322" s="0" t="n">
        <v>212</v>
      </c>
      <c r="M322" s="0" t="s">
        <v>35</v>
      </c>
      <c r="N322" s="0" t="s">
        <v>102</v>
      </c>
    </row>
    <row r="323" customFormat="false" ht="15" hidden="false" customHeight="false" outlineLevel="0" collapsed="false">
      <c r="A323" s="0" t="s">
        <v>900</v>
      </c>
      <c r="B323" s="0" t="s">
        <v>901</v>
      </c>
      <c r="C323" s="0" t="s">
        <v>902</v>
      </c>
      <c r="D323" s="0" t="s">
        <v>25</v>
      </c>
      <c r="E323" s="0" t="s">
        <v>252</v>
      </c>
      <c r="F323" s="0" t="s">
        <v>120</v>
      </c>
      <c r="G323" s="0" t="n">
        <v>2685456</v>
      </c>
      <c r="H323" s="0" t="n">
        <v>67135</v>
      </c>
      <c r="I323" s="0" t="n">
        <v>22237</v>
      </c>
      <c r="J323" s="0" t="n">
        <v>28.1</v>
      </c>
      <c r="K323" s="0" t="n">
        <v>14</v>
      </c>
      <c r="L323" s="0" t="n">
        <v>247</v>
      </c>
      <c r="M323" s="0" t="s">
        <v>20</v>
      </c>
      <c r="N323" s="0" t="s">
        <v>74</v>
      </c>
    </row>
    <row r="324" customFormat="false" ht="15" hidden="false" customHeight="false" outlineLevel="0" collapsed="false">
      <c r="A324" s="0" t="s">
        <v>903</v>
      </c>
      <c r="B324" s="0" t="s">
        <v>904</v>
      </c>
      <c r="C324" s="0" t="s">
        <v>362</v>
      </c>
      <c r="D324" s="0" t="s">
        <v>25</v>
      </c>
      <c r="E324" s="0" t="s">
        <v>574</v>
      </c>
      <c r="F324" s="0" t="s">
        <v>265</v>
      </c>
      <c r="G324" s="0" t="n">
        <v>5023882</v>
      </c>
      <c r="H324" s="0" t="n">
        <v>151650</v>
      </c>
      <c r="I324" s="0" t="n">
        <v>50569</v>
      </c>
      <c r="J324" s="0" t="n">
        <v>21</v>
      </c>
      <c r="K324" s="0" t="n">
        <v>17</v>
      </c>
      <c r="L324" s="0" t="n">
        <v>748</v>
      </c>
      <c r="M324" s="0" t="s">
        <v>20</v>
      </c>
      <c r="N324" s="0" t="s">
        <v>169</v>
      </c>
    </row>
    <row r="325" customFormat="false" ht="15" hidden="false" customHeight="false" outlineLevel="0" collapsed="false">
      <c r="A325" s="0" t="s">
        <v>905</v>
      </c>
      <c r="B325" s="0" t="s">
        <v>349</v>
      </c>
      <c r="C325" s="0" t="s">
        <v>129</v>
      </c>
      <c r="D325" s="0" t="s">
        <v>46</v>
      </c>
      <c r="E325" s="0" t="s">
        <v>205</v>
      </c>
      <c r="F325" s="0" t="s">
        <v>111</v>
      </c>
      <c r="G325" s="0" t="n">
        <v>2798570</v>
      </c>
      <c r="H325" s="0" t="n">
        <v>80813</v>
      </c>
      <c r="I325" s="0" t="n">
        <v>23543</v>
      </c>
      <c r="J325" s="0" t="n">
        <v>4.3</v>
      </c>
      <c r="K325" s="0" t="n">
        <v>11</v>
      </c>
      <c r="L325" s="0" t="n">
        <v>273</v>
      </c>
      <c r="M325" s="0" t="s">
        <v>20</v>
      </c>
      <c r="N325" s="0" t="s">
        <v>28</v>
      </c>
    </row>
    <row r="326" customFormat="false" ht="15" hidden="false" customHeight="false" outlineLevel="0" collapsed="false">
      <c r="A326" s="0" t="s">
        <v>906</v>
      </c>
      <c r="B326" s="0" t="s">
        <v>643</v>
      </c>
      <c r="C326" s="0" t="s">
        <v>324</v>
      </c>
      <c r="D326" s="0" t="s">
        <v>59</v>
      </c>
      <c r="E326" s="0" t="s">
        <v>379</v>
      </c>
      <c r="F326" s="0" t="s">
        <v>380</v>
      </c>
      <c r="G326" s="0" t="n">
        <v>1443660</v>
      </c>
      <c r="H326" s="0" t="n">
        <v>67292</v>
      </c>
      <c r="I326" s="0" t="n">
        <v>21146</v>
      </c>
      <c r="J326" s="0" t="n">
        <v>32.3</v>
      </c>
      <c r="K326" s="0" t="n">
        <v>22</v>
      </c>
      <c r="L326" s="0" t="n">
        <v>378</v>
      </c>
      <c r="M326" s="0" t="s">
        <v>54</v>
      </c>
      <c r="N326" s="0" t="s">
        <v>96</v>
      </c>
    </row>
    <row r="327" customFormat="false" ht="15" hidden="false" customHeight="false" outlineLevel="0" collapsed="false">
      <c r="A327" s="0" t="s">
        <v>907</v>
      </c>
      <c r="B327" s="0" t="s">
        <v>908</v>
      </c>
      <c r="C327" s="0" t="s">
        <v>367</v>
      </c>
      <c r="D327" s="0" t="s">
        <v>109</v>
      </c>
      <c r="E327" s="0" t="s">
        <v>90</v>
      </c>
      <c r="F327" s="0" t="s">
        <v>47</v>
      </c>
      <c r="G327" s="0" t="n">
        <v>2166680</v>
      </c>
      <c r="H327" s="0" t="n">
        <v>79238</v>
      </c>
      <c r="I327" s="0" t="n">
        <v>28326</v>
      </c>
      <c r="J327" s="0" t="n">
        <v>10.6</v>
      </c>
      <c r="K327" s="0" t="n">
        <v>23</v>
      </c>
      <c r="L327" s="0" t="n">
        <v>222</v>
      </c>
      <c r="M327" s="0" t="s">
        <v>54</v>
      </c>
      <c r="N327" s="0" t="s">
        <v>169</v>
      </c>
    </row>
    <row r="328" customFormat="false" ht="15" hidden="false" customHeight="false" outlineLevel="0" collapsed="false">
      <c r="A328" s="0" t="s">
        <v>909</v>
      </c>
      <c r="B328" s="0" t="s">
        <v>910</v>
      </c>
      <c r="C328" s="0" t="s">
        <v>162</v>
      </c>
      <c r="D328" s="0" t="s">
        <v>17</v>
      </c>
      <c r="E328" s="0" t="s">
        <v>126</v>
      </c>
      <c r="F328" s="0" t="s">
        <v>214</v>
      </c>
      <c r="G328" s="0" t="n">
        <v>1983084</v>
      </c>
      <c r="H328" s="0" t="n">
        <v>57756</v>
      </c>
      <c r="I328" s="0" t="n">
        <v>22275</v>
      </c>
      <c r="J328" s="0" t="n">
        <v>59.1</v>
      </c>
      <c r="K328" s="0" t="n">
        <v>9</v>
      </c>
      <c r="L328" s="0" t="n">
        <v>599</v>
      </c>
      <c r="M328" s="0" t="s">
        <v>20</v>
      </c>
      <c r="N328" s="0" t="s">
        <v>42</v>
      </c>
    </row>
    <row r="329" customFormat="false" ht="15" hidden="false" customHeight="false" outlineLevel="0" collapsed="false">
      <c r="A329" s="0" t="s">
        <v>911</v>
      </c>
      <c r="B329" s="0" t="s">
        <v>912</v>
      </c>
      <c r="C329" s="0" t="s">
        <v>913</v>
      </c>
      <c r="D329" s="0" t="s">
        <v>65</v>
      </c>
      <c r="E329" s="0" t="s">
        <v>265</v>
      </c>
      <c r="F329" s="0" t="s">
        <v>357</v>
      </c>
      <c r="G329" s="0" t="n">
        <v>1783357</v>
      </c>
      <c r="H329" s="0" t="n">
        <v>47874</v>
      </c>
      <c r="I329" s="0" t="n">
        <v>14010</v>
      </c>
      <c r="J329" s="0" t="n">
        <v>15.9</v>
      </c>
      <c r="K329" s="0" t="n">
        <v>20</v>
      </c>
      <c r="L329" s="0" t="n">
        <v>443</v>
      </c>
      <c r="M329" s="0" t="s">
        <v>35</v>
      </c>
      <c r="N329" s="0" t="s">
        <v>55</v>
      </c>
    </row>
    <row r="330" customFormat="false" ht="15" hidden="false" customHeight="false" outlineLevel="0" collapsed="false">
      <c r="A330" s="0" t="s">
        <v>914</v>
      </c>
      <c r="B330" s="0" t="s">
        <v>915</v>
      </c>
      <c r="C330" s="0" t="s">
        <v>124</v>
      </c>
      <c r="D330" s="0" t="s">
        <v>25</v>
      </c>
      <c r="E330" s="0" t="s">
        <v>346</v>
      </c>
      <c r="F330" s="0" t="s">
        <v>53</v>
      </c>
      <c r="G330" s="0" t="n">
        <v>2281034</v>
      </c>
      <c r="H330" s="0" t="n">
        <v>76429</v>
      </c>
      <c r="I330" s="0" t="n">
        <v>19347</v>
      </c>
      <c r="J330" s="0" t="n">
        <v>41.9</v>
      </c>
      <c r="K330" s="0" t="n">
        <v>7</v>
      </c>
      <c r="L330" s="0" t="n">
        <v>410</v>
      </c>
      <c r="M330" s="0" t="s">
        <v>35</v>
      </c>
      <c r="N330" s="0" t="s">
        <v>96</v>
      </c>
    </row>
    <row r="331" customFormat="false" ht="15" hidden="false" customHeight="false" outlineLevel="0" collapsed="false">
      <c r="A331" s="0" t="s">
        <v>916</v>
      </c>
      <c r="B331" s="0" t="s">
        <v>282</v>
      </c>
      <c r="C331" s="0" t="s">
        <v>119</v>
      </c>
      <c r="D331" s="0" t="s">
        <v>109</v>
      </c>
      <c r="E331" s="0" t="s">
        <v>270</v>
      </c>
      <c r="F331" s="0" t="s">
        <v>94</v>
      </c>
      <c r="G331" s="0" t="n">
        <v>1357227</v>
      </c>
      <c r="H331" s="0" t="n">
        <v>40724</v>
      </c>
      <c r="I331" s="0" t="n">
        <v>10897</v>
      </c>
      <c r="J331" s="0" t="n">
        <v>52.2</v>
      </c>
      <c r="K331" s="0" t="n">
        <v>21</v>
      </c>
      <c r="L331" s="0" t="n">
        <v>248</v>
      </c>
      <c r="M331" s="0" t="s">
        <v>54</v>
      </c>
      <c r="N331" s="0" t="s">
        <v>140</v>
      </c>
    </row>
    <row r="332" customFormat="false" ht="15" hidden="false" customHeight="false" outlineLevel="0" collapsed="false">
      <c r="A332" s="0" t="s">
        <v>917</v>
      </c>
      <c r="B332" s="0" t="s">
        <v>918</v>
      </c>
      <c r="C332" s="0" t="s">
        <v>320</v>
      </c>
      <c r="D332" s="0" t="s">
        <v>65</v>
      </c>
      <c r="E332" s="0" t="s">
        <v>284</v>
      </c>
      <c r="F332" s="0" t="s">
        <v>289</v>
      </c>
      <c r="G332" s="0" t="n">
        <v>2470796</v>
      </c>
      <c r="H332" s="0" t="n">
        <v>86888</v>
      </c>
      <c r="I332" s="0" t="n">
        <v>21950</v>
      </c>
      <c r="J332" s="0" t="n">
        <v>33.5</v>
      </c>
      <c r="K332" s="0" t="n">
        <v>24</v>
      </c>
      <c r="L332" s="0" t="n">
        <v>178</v>
      </c>
      <c r="M332" s="0" t="s">
        <v>20</v>
      </c>
      <c r="N332" s="0" t="s">
        <v>122</v>
      </c>
    </row>
    <row r="333" customFormat="false" ht="15" hidden="false" customHeight="false" outlineLevel="0" collapsed="false">
      <c r="A333" s="0" t="s">
        <v>919</v>
      </c>
      <c r="B333" s="0" t="s">
        <v>920</v>
      </c>
      <c r="C333" s="0" t="s">
        <v>669</v>
      </c>
      <c r="D333" s="0" t="s">
        <v>59</v>
      </c>
      <c r="E333" s="0" t="s">
        <v>126</v>
      </c>
      <c r="F333" s="0" t="s">
        <v>193</v>
      </c>
      <c r="G333" s="0" t="n">
        <v>2774853</v>
      </c>
      <c r="H333" s="0" t="n">
        <v>151829</v>
      </c>
      <c r="I333" s="0" t="n">
        <v>47068</v>
      </c>
      <c r="J333" s="0" t="n">
        <v>40.7</v>
      </c>
      <c r="K333" s="0" t="n">
        <v>17</v>
      </c>
      <c r="L333" s="0" t="n">
        <v>559</v>
      </c>
      <c r="M333" s="0" t="s">
        <v>20</v>
      </c>
      <c r="N333" s="0" t="s">
        <v>102</v>
      </c>
    </row>
    <row r="334" customFormat="false" ht="15" hidden="false" customHeight="false" outlineLevel="0" collapsed="false">
      <c r="A334" s="0" t="s">
        <v>921</v>
      </c>
      <c r="B334" s="0" t="s">
        <v>585</v>
      </c>
      <c r="C334" s="0" t="s">
        <v>535</v>
      </c>
      <c r="D334" s="0" t="s">
        <v>17</v>
      </c>
      <c r="E334" s="0" t="s">
        <v>125</v>
      </c>
      <c r="F334" s="0" t="s">
        <v>292</v>
      </c>
      <c r="G334" s="0" t="n">
        <v>1577932</v>
      </c>
      <c r="H334" s="0" t="n">
        <v>55973</v>
      </c>
      <c r="I334" s="0" t="n">
        <v>13798</v>
      </c>
      <c r="J334" s="0" t="n">
        <v>38.8</v>
      </c>
      <c r="K334" s="0" t="n">
        <v>10</v>
      </c>
      <c r="L334" s="0" t="n">
        <v>248</v>
      </c>
      <c r="M334" s="0" t="s">
        <v>35</v>
      </c>
      <c r="N334" s="0" t="s">
        <v>55</v>
      </c>
    </row>
    <row r="335" customFormat="false" ht="15" hidden="false" customHeight="false" outlineLevel="0" collapsed="false">
      <c r="A335" s="0" t="s">
        <v>922</v>
      </c>
      <c r="B335" s="0" t="s">
        <v>923</v>
      </c>
      <c r="C335" s="0" t="s">
        <v>445</v>
      </c>
      <c r="D335" s="0" t="s">
        <v>39</v>
      </c>
      <c r="E335" s="0" t="s">
        <v>209</v>
      </c>
      <c r="F335" s="0" t="s">
        <v>52</v>
      </c>
      <c r="G335" s="0" t="n">
        <v>2483822</v>
      </c>
      <c r="H335" s="0" t="n">
        <v>86956</v>
      </c>
      <c r="I335" s="0" t="n">
        <v>20518</v>
      </c>
      <c r="J335" s="0" t="n">
        <v>25.3</v>
      </c>
      <c r="K335" s="0" t="n">
        <v>18</v>
      </c>
      <c r="L335" s="0" t="n">
        <v>712</v>
      </c>
      <c r="M335" s="0" t="s">
        <v>54</v>
      </c>
      <c r="N335" s="0" t="s">
        <v>28</v>
      </c>
    </row>
    <row r="336" customFormat="false" ht="15" hidden="false" customHeight="false" outlineLevel="0" collapsed="false">
      <c r="A336" s="0" t="s">
        <v>924</v>
      </c>
      <c r="B336" s="0" t="s">
        <v>925</v>
      </c>
      <c r="C336" s="0" t="s">
        <v>175</v>
      </c>
      <c r="D336" s="0" t="s">
        <v>65</v>
      </c>
      <c r="E336" s="0" t="s">
        <v>220</v>
      </c>
      <c r="F336" s="0" t="s">
        <v>106</v>
      </c>
      <c r="G336" s="0" t="n">
        <v>1303211</v>
      </c>
      <c r="H336" s="0" t="n">
        <v>39801</v>
      </c>
      <c r="I336" s="0" t="n">
        <v>9303</v>
      </c>
      <c r="J336" s="0" t="n">
        <v>44.3</v>
      </c>
      <c r="K336" s="0" t="n">
        <v>13</v>
      </c>
      <c r="L336" s="0" t="n">
        <v>555</v>
      </c>
      <c r="M336" s="0" t="s">
        <v>35</v>
      </c>
      <c r="N336" s="0" t="s">
        <v>74</v>
      </c>
    </row>
    <row r="337" customFormat="false" ht="15" hidden="false" customHeight="false" outlineLevel="0" collapsed="false">
      <c r="A337" s="0" t="s">
        <v>926</v>
      </c>
      <c r="B337" s="0" t="s">
        <v>927</v>
      </c>
      <c r="C337" s="0" t="s">
        <v>223</v>
      </c>
      <c r="D337" s="0" t="s">
        <v>59</v>
      </c>
      <c r="E337" s="0" t="s">
        <v>33</v>
      </c>
      <c r="F337" s="0" t="s">
        <v>72</v>
      </c>
      <c r="G337" s="0" t="n">
        <v>2844761</v>
      </c>
      <c r="H337" s="0" t="n">
        <v>133114</v>
      </c>
      <c r="I337" s="0" t="n">
        <v>41054</v>
      </c>
      <c r="J337" s="0" t="n">
        <v>21.6</v>
      </c>
      <c r="K337" s="0" t="n">
        <v>20</v>
      </c>
      <c r="L337" s="0" t="n">
        <v>700</v>
      </c>
      <c r="M337" s="0" t="s">
        <v>54</v>
      </c>
      <c r="N337" s="0" t="s">
        <v>21</v>
      </c>
    </row>
    <row r="338" customFormat="false" ht="15" hidden="false" customHeight="false" outlineLevel="0" collapsed="false">
      <c r="A338" s="0" t="s">
        <v>928</v>
      </c>
      <c r="B338" s="0" t="s">
        <v>929</v>
      </c>
      <c r="C338" s="0" t="s">
        <v>696</v>
      </c>
      <c r="D338" s="0" t="s">
        <v>78</v>
      </c>
      <c r="E338" s="0" t="s">
        <v>130</v>
      </c>
      <c r="F338" s="0" t="s">
        <v>214</v>
      </c>
      <c r="G338" s="0" t="n">
        <v>5629365</v>
      </c>
      <c r="H338" s="0" t="n">
        <v>266548</v>
      </c>
      <c r="I338" s="0" t="n">
        <v>79840</v>
      </c>
      <c r="J338" s="0" t="n">
        <v>48.2</v>
      </c>
      <c r="K338" s="0" t="n">
        <v>12</v>
      </c>
      <c r="L338" s="0" t="n">
        <v>478</v>
      </c>
      <c r="M338" s="0" t="s">
        <v>35</v>
      </c>
      <c r="N338" s="0" t="s">
        <v>122</v>
      </c>
    </row>
    <row r="339" customFormat="false" ht="15" hidden="false" customHeight="false" outlineLevel="0" collapsed="false">
      <c r="A339" s="0" t="s">
        <v>930</v>
      </c>
      <c r="B339" s="0" t="s">
        <v>931</v>
      </c>
      <c r="C339" s="0" t="s">
        <v>251</v>
      </c>
      <c r="D339" s="0" t="s">
        <v>144</v>
      </c>
      <c r="E339" s="0" t="s">
        <v>310</v>
      </c>
      <c r="F339" s="0" t="s">
        <v>73</v>
      </c>
      <c r="G339" s="0" t="n">
        <v>1996940</v>
      </c>
      <c r="H339" s="0" t="n">
        <v>46106</v>
      </c>
      <c r="I339" s="0" t="n">
        <v>16187</v>
      </c>
      <c r="J339" s="0" t="n">
        <v>56.7</v>
      </c>
      <c r="K339" s="0" t="n">
        <v>7</v>
      </c>
      <c r="L339" s="0" t="n">
        <v>287</v>
      </c>
      <c r="M339" s="0" t="s">
        <v>20</v>
      </c>
      <c r="N339" s="0" t="s">
        <v>96</v>
      </c>
    </row>
    <row r="340" customFormat="false" ht="15" hidden="false" customHeight="false" outlineLevel="0" collapsed="false">
      <c r="A340" s="0" t="s">
        <v>932</v>
      </c>
      <c r="B340" s="0" t="s">
        <v>437</v>
      </c>
      <c r="C340" s="0" t="s">
        <v>513</v>
      </c>
      <c r="D340" s="0" t="s">
        <v>39</v>
      </c>
      <c r="E340" s="0" t="s">
        <v>205</v>
      </c>
      <c r="F340" s="0" t="s">
        <v>574</v>
      </c>
      <c r="G340" s="0" t="n">
        <v>1620230</v>
      </c>
      <c r="H340" s="0" t="n">
        <v>75521</v>
      </c>
      <c r="I340" s="0" t="n">
        <v>21974</v>
      </c>
      <c r="J340" s="0" t="n">
        <v>56.6</v>
      </c>
      <c r="K340" s="0" t="n">
        <v>5</v>
      </c>
      <c r="L340" s="0" t="n">
        <v>797</v>
      </c>
      <c r="M340" s="0" t="s">
        <v>35</v>
      </c>
      <c r="N340" s="0" t="s">
        <v>122</v>
      </c>
    </row>
    <row r="341" customFormat="false" ht="15" hidden="false" customHeight="false" outlineLevel="0" collapsed="false">
      <c r="A341" s="0" t="s">
        <v>933</v>
      </c>
      <c r="B341" s="0" t="s">
        <v>337</v>
      </c>
      <c r="C341" s="0" t="s">
        <v>345</v>
      </c>
      <c r="D341" s="0" t="s">
        <v>78</v>
      </c>
      <c r="E341" s="0" t="s">
        <v>407</v>
      </c>
      <c r="F341" s="0" t="s">
        <v>335</v>
      </c>
      <c r="G341" s="0" t="n">
        <v>3127331</v>
      </c>
      <c r="H341" s="0" t="n">
        <v>114806</v>
      </c>
      <c r="I341" s="0" t="n">
        <v>45470</v>
      </c>
      <c r="J341" s="0" t="n">
        <v>55</v>
      </c>
      <c r="K341" s="0" t="n">
        <v>9</v>
      </c>
      <c r="L341" s="0" t="n">
        <v>637</v>
      </c>
      <c r="M341" s="0" t="s">
        <v>20</v>
      </c>
      <c r="N341" s="0" t="s">
        <v>96</v>
      </c>
    </row>
    <row r="342" customFormat="false" ht="15" hidden="false" customHeight="false" outlineLevel="0" collapsed="false">
      <c r="A342" s="0" t="s">
        <v>934</v>
      </c>
      <c r="B342" s="0" t="s">
        <v>326</v>
      </c>
      <c r="C342" s="0" t="s">
        <v>378</v>
      </c>
      <c r="D342" s="0" t="s">
        <v>65</v>
      </c>
      <c r="E342" s="0" t="s">
        <v>788</v>
      </c>
      <c r="F342" s="0" t="s">
        <v>186</v>
      </c>
      <c r="G342" s="0" t="n">
        <v>1301745</v>
      </c>
      <c r="H342" s="0" t="n">
        <v>52399</v>
      </c>
      <c r="I342" s="0" t="n">
        <v>14412</v>
      </c>
      <c r="J342" s="0" t="n">
        <v>29.4</v>
      </c>
      <c r="K342" s="0" t="n">
        <v>5</v>
      </c>
      <c r="L342" s="0" t="n">
        <v>476</v>
      </c>
      <c r="M342" s="0" t="s">
        <v>54</v>
      </c>
      <c r="N342" s="0" t="s">
        <v>21</v>
      </c>
    </row>
    <row r="343" customFormat="false" ht="15" hidden="false" customHeight="false" outlineLevel="0" collapsed="false">
      <c r="A343" s="0" t="s">
        <v>935</v>
      </c>
      <c r="B343" s="0" t="s">
        <v>936</v>
      </c>
      <c r="C343" s="0" t="s">
        <v>167</v>
      </c>
      <c r="D343" s="0" t="s">
        <v>46</v>
      </c>
      <c r="E343" s="0" t="s">
        <v>186</v>
      </c>
      <c r="F343" s="0" t="s">
        <v>80</v>
      </c>
      <c r="G343" s="0" t="n">
        <v>2445695</v>
      </c>
      <c r="H343" s="0" t="n">
        <v>76794</v>
      </c>
      <c r="I343" s="0" t="n">
        <v>17593</v>
      </c>
      <c r="J343" s="0" t="n">
        <v>38.8</v>
      </c>
      <c r="K343" s="0" t="n">
        <v>12</v>
      </c>
      <c r="L343" s="0" t="n">
        <v>729</v>
      </c>
      <c r="M343" s="0" t="s">
        <v>20</v>
      </c>
      <c r="N343" s="0" t="s">
        <v>74</v>
      </c>
    </row>
    <row r="344" customFormat="false" ht="15" hidden="false" customHeight="false" outlineLevel="0" collapsed="false">
      <c r="A344" s="0" t="s">
        <v>937</v>
      </c>
      <c r="B344" s="0" t="s">
        <v>938</v>
      </c>
      <c r="C344" s="0" t="s">
        <v>114</v>
      </c>
      <c r="D344" s="0" t="s">
        <v>89</v>
      </c>
      <c r="E344" s="0" t="s">
        <v>266</v>
      </c>
      <c r="F344" s="0" t="s">
        <v>269</v>
      </c>
      <c r="G344" s="0" t="n">
        <v>1494775</v>
      </c>
      <c r="H344" s="0" t="n">
        <v>32741</v>
      </c>
      <c r="I344" s="0" t="n">
        <v>8199</v>
      </c>
      <c r="J344" s="0" t="n">
        <v>19.6</v>
      </c>
      <c r="K344" s="0" t="n">
        <v>22</v>
      </c>
      <c r="L344" s="0" t="n">
        <v>412</v>
      </c>
      <c r="M344" s="0" t="s">
        <v>20</v>
      </c>
      <c r="N344" s="0" t="s">
        <v>122</v>
      </c>
    </row>
    <row r="345" customFormat="false" ht="15" hidden="false" customHeight="false" outlineLevel="0" collapsed="false">
      <c r="A345" s="0" t="s">
        <v>939</v>
      </c>
      <c r="B345" s="0" t="s">
        <v>246</v>
      </c>
      <c r="C345" s="0" t="s">
        <v>689</v>
      </c>
      <c r="D345" s="0" t="s">
        <v>89</v>
      </c>
      <c r="E345" s="0" t="s">
        <v>159</v>
      </c>
      <c r="F345" s="0" t="s">
        <v>279</v>
      </c>
      <c r="G345" s="0" t="n">
        <v>1344325</v>
      </c>
      <c r="H345" s="0" t="n">
        <v>28898</v>
      </c>
      <c r="I345" s="0" t="n">
        <v>9217</v>
      </c>
      <c r="J345" s="0" t="n">
        <v>53.5</v>
      </c>
      <c r="K345" s="0" t="n">
        <v>14</v>
      </c>
      <c r="L345" s="0" t="n">
        <v>660</v>
      </c>
      <c r="M345" s="0" t="s">
        <v>54</v>
      </c>
      <c r="N345" s="0" t="s">
        <v>74</v>
      </c>
    </row>
    <row r="346" customFormat="false" ht="15" hidden="false" customHeight="false" outlineLevel="0" collapsed="false">
      <c r="A346" s="0" t="s">
        <v>940</v>
      </c>
      <c r="B346" s="0" t="s">
        <v>941</v>
      </c>
      <c r="C346" s="0" t="s">
        <v>360</v>
      </c>
      <c r="D346" s="0" t="s">
        <v>144</v>
      </c>
      <c r="E346" s="0" t="s">
        <v>292</v>
      </c>
      <c r="F346" s="0" t="s">
        <v>214</v>
      </c>
      <c r="G346" s="0" t="n">
        <v>2394556</v>
      </c>
      <c r="H346" s="0" t="n">
        <v>66298</v>
      </c>
      <c r="I346" s="0" t="n">
        <v>23783</v>
      </c>
      <c r="J346" s="0" t="n">
        <v>37</v>
      </c>
      <c r="K346" s="0" t="n">
        <v>11</v>
      </c>
      <c r="L346" s="0" t="n">
        <v>695</v>
      </c>
      <c r="M346" s="0" t="s">
        <v>35</v>
      </c>
      <c r="N346" s="0" t="s">
        <v>21</v>
      </c>
    </row>
    <row r="347" customFormat="false" ht="15" hidden="false" customHeight="false" outlineLevel="0" collapsed="false">
      <c r="A347" s="0" t="s">
        <v>942</v>
      </c>
      <c r="B347" s="0" t="s">
        <v>943</v>
      </c>
      <c r="C347" s="0" t="s">
        <v>944</v>
      </c>
      <c r="D347" s="0" t="s">
        <v>109</v>
      </c>
      <c r="E347" s="0" t="s">
        <v>126</v>
      </c>
      <c r="F347" s="0" t="s">
        <v>756</v>
      </c>
      <c r="G347" s="0" t="n">
        <v>1974741</v>
      </c>
      <c r="H347" s="0" t="n">
        <v>55064</v>
      </c>
      <c r="I347" s="0" t="n">
        <v>16900</v>
      </c>
      <c r="J347" s="0" t="n">
        <v>21.5</v>
      </c>
      <c r="K347" s="0" t="n">
        <v>13</v>
      </c>
      <c r="L347" s="0" t="n">
        <v>442</v>
      </c>
      <c r="M347" s="0" t="s">
        <v>20</v>
      </c>
      <c r="N347" s="0" t="s">
        <v>55</v>
      </c>
    </row>
    <row r="348" customFormat="false" ht="15" hidden="false" customHeight="false" outlineLevel="0" collapsed="false">
      <c r="A348" s="0" t="s">
        <v>945</v>
      </c>
      <c r="B348" s="0" t="s">
        <v>556</v>
      </c>
      <c r="C348" s="0" t="s">
        <v>105</v>
      </c>
      <c r="D348" s="0" t="s">
        <v>32</v>
      </c>
      <c r="E348" s="0" t="s">
        <v>770</v>
      </c>
      <c r="F348" s="0" t="s">
        <v>110</v>
      </c>
      <c r="G348" s="0" t="n">
        <v>6042511</v>
      </c>
      <c r="H348" s="0" t="n">
        <v>192583</v>
      </c>
      <c r="I348" s="0" t="n">
        <v>63548</v>
      </c>
      <c r="J348" s="0" t="n">
        <v>11.7</v>
      </c>
      <c r="K348" s="0" t="n">
        <v>17</v>
      </c>
      <c r="L348" s="0" t="n">
        <v>603</v>
      </c>
      <c r="M348" s="0" t="s">
        <v>54</v>
      </c>
      <c r="N348" s="0" t="s">
        <v>81</v>
      </c>
    </row>
    <row r="349" customFormat="false" ht="15" hidden="false" customHeight="false" outlineLevel="0" collapsed="false">
      <c r="A349" s="0" t="s">
        <v>946</v>
      </c>
      <c r="B349" s="0" t="s">
        <v>171</v>
      </c>
      <c r="C349" s="0" t="s">
        <v>947</v>
      </c>
      <c r="D349" s="0" t="s">
        <v>32</v>
      </c>
      <c r="E349" s="0" t="s">
        <v>198</v>
      </c>
      <c r="F349" s="0" t="s">
        <v>451</v>
      </c>
      <c r="G349" s="0" t="n">
        <v>4748072</v>
      </c>
      <c r="H349" s="0" t="n">
        <v>188317</v>
      </c>
      <c r="I349" s="0" t="n">
        <v>57312</v>
      </c>
      <c r="J349" s="0" t="n">
        <v>19.7</v>
      </c>
      <c r="K349" s="0" t="n">
        <v>19</v>
      </c>
      <c r="L349" s="0" t="n">
        <v>159</v>
      </c>
      <c r="M349" s="0" t="s">
        <v>54</v>
      </c>
      <c r="N349" s="0" t="s">
        <v>102</v>
      </c>
    </row>
    <row r="350" customFormat="false" ht="15" hidden="false" customHeight="false" outlineLevel="0" collapsed="false">
      <c r="A350" s="0" t="s">
        <v>948</v>
      </c>
      <c r="B350" s="0" t="s">
        <v>275</v>
      </c>
      <c r="C350" s="0" t="s">
        <v>840</v>
      </c>
      <c r="D350" s="0" t="s">
        <v>89</v>
      </c>
      <c r="E350" s="0" t="s">
        <v>213</v>
      </c>
      <c r="F350" s="0" t="s">
        <v>756</v>
      </c>
      <c r="G350" s="0" t="n">
        <v>1330262</v>
      </c>
      <c r="H350" s="0" t="n">
        <v>31273</v>
      </c>
      <c r="I350" s="0" t="n">
        <v>9143</v>
      </c>
      <c r="J350" s="0" t="n">
        <v>4.7</v>
      </c>
      <c r="K350" s="0" t="n">
        <v>7</v>
      </c>
      <c r="L350" s="0" t="n">
        <v>394</v>
      </c>
      <c r="M350" s="0" t="s">
        <v>35</v>
      </c>
      <c r="N350" s="0" t="s">
        <v>81</v>
      </c>
    </row>
    <row r="351" customFormat="false" ht="15" hidden="false" customHeight="false" outlineLevel="0" collapsed="false">
      <c r="A351" s="0" t="s">
        <v>949</v>
      </c>
      <c r="B351" s="0" t="s">
        <v>891</v>
      </c>
      <c r="C351" s="0" t="s">
        <v>378</v>
      </c>
      <c r="D351" s="0" t="s">
        <v>65</v>
      </c>
      <c r="E351" s="0" t="s">
        <v>544</v>
      </c>
      <c r="F351" s="0" t="s">
        <v>284</v>
      </c>
      <c r="G351" s="0" t="n">
        <v>1183823</v>
      </c>
      <c r="H351" s="0" t="n">
        <v>35583</v>
      </c>
      <c r="I351" s="0" t="n">
        <v>11502</v>
      </c>
      <c r="J351" s="0" t="n">
        <v>14.8</v>
      </c>
      <c r="K351" s="0" t="n">
        <v>7</v>
      </c>
      <c r="L351" s="0" t="n">
        <v>713</v>
      </c>
      <c r="M351" s="0" t="s">
        <v>20</v>
      </c>
      <c r="N351" s="0" t="s">
        <v>169</v>
      </c>
    </row>
    <row r="352" customFormat="false" ht="15" hidden="false" customHeight="false" outlineLevel="0" collapsed="false">
      <c r="A352" s="0" t="s">
        <v>950</v>
      </c>
      <c r="B352" s="0" t="s">
        <v>951</v>
      </c>
      <c r="C352" s="0" t="s">
        <v>952</v>
      </c>
      <c r="D352" s="0" t="s">
        <v>71</v>
      </c>
      <c r="E352" s="0" t="s">
        <v>90</v>
      </c>
      <c r="F352" s="0" t="s">
        <v>372</v>
      </c>
      <c r="G352" s="0" t="n">
        <v>1257520</v>
      </c>
      <c r="H352" s="0" t="n">
        <v>34727</v>
      </c>
      <c r="I352" s="0" t="n">
        <v>11814</v>
      </c>
      <c r="J352" s="0" t="n">
        <v>24.1</v>
      </c>
      <c r="K352" s="0" t="n">
        <v>17</v>
      </c>
      <c r="L352" s="0" t="n">
        <v>590</v>
      </c>
      <c r="M352" s="0" t="s">
        <v>20</v>
      </c>
      <c r="N352" s="0" t="s">
        <v>102</v>
      </c>
    </row>
    <row r="353" customFormat="false" ht="15" hidden="false" customHeight="false" outlineLevel="0" collapsed="false">
      <c r="A353" s="0" t="s">
        <v>953</v>
      </c>
      <c r="B353" s="0" t="s">
        <v>831</v>
      </c>
      <c r="C353" s="0" t="s">
        <v>483</v>
      </c>
      <c r="D353" s="0" t="s">
        <v>78</v>
      </c>
      <c r="E353" s="0" t="s">
        <v>299</v>
      </c>
      <c r="F353" s="0" t="s">
        <v>209</v>
      </c>
      <c r="G353" s="0" t="n">
        <v>5316904</v>
      </c>
      <c r="H353" s="0" t="n">
        <v>167196</v>
      </c>
      <c r="I353" s="0" t="n">
        <v>49458</v>
      </c>
      <c r="J353" s="0" t="n">
        <v>40.2</v>
      </c>
      <c r="K353" s="0" t="n">
        <v>22</v>
      </c>
      <c r="L353" s="0" t="n">
        <v>213</v>
      </c>
      <c r="M353" s="0" t="s">
        <v>35</v>
      </c>
      <c r="N353" s="0" t="s">
        <v>67</v>
      </c>
    </row>
    <row r="354" customFormat="false" ht="15" hidden="false" customHeight="false" outlineLevel="0" collapsed="false">
      <c r="A354" s="0" t="s">
        <v>954</v>
      </c>
      <c r="B354" s="0" t="s">
        <v>955</v>
      </c>
      <c r="C354" s="0" t="s">
        <v>31</v>
      </c>
      <c r="D354" s="0" t="s">
        <v>71</v>
      </c>
      <c r="E354" s="0" t="s">
        <v>120</v>
      </c>
      <c r="F354" s="0" t="s">
        <v>52</v>
      </c>
      <c r="G354" s="0" t="n">
        <v>1858330</v>
      </c>
      <c r="H354" s="0" t="n">
        <v>39924</v>
      </c>
      <c r="I354" s="0" t="n">
        <v>9517</v>
      </c>
      <c r="J354" s="0" t="n">
        <v>40.4</v>
      </c>
      <c r="K354" s="0" t="n">
        <v>6</v>
      </c>
      <c r="L354" s="0" t="n">
        <v>637</v>
      </c>
      <c r="M354" s="0" t="s">
        <v>54</v>
      </c>
      <c r="N354" s="0" t="s">
        <v>42</v>
      </c>
    </row>
    <row r="355" customFormat="false" ht="15" hidden="false" customHeight="false" outlineLevel="0" collapsed="false">
      <c r="A355" s="0" t="s">
        <v>956</v>
      </c>
      <c r="B355" s="0" t="s">
        <v>957</v>
      </c>
      <c r="C355" s="0" t="s">
        <v>958</v>
      </c>
      <c r="D355" s="0" t="s">
        <v>109</v>
      </c>
      <c r="E355" s="0" t="s">
        <v>618</v>
      </c>
      <c r="F355" s="0" t="s">
        <v>959</v>
      </c>
      <c r="G355" s="0" t="n">
        <v>2057292</v>
      </c>
      <c r="H355" s="0" t="n">
        <v>68286</v>
      </c>
      <c r="I355" s="0" t="n">
        <v>20602</v>
      </c>
      <c r="J355" s="0" t="n">
        <v>49.3</v>
      </c>
      <c r="K355" s="0" t="n">
        <v>8</v>
      </c>
      <c r="L355" s="0" t="n">
        <v>402</v>
      </c>
      <c r="M355" s="0" t="s">
        <v>54</v>
      </c>
      <c r="N355" s="0" t="s">
        <v>169</v>
      </c>
    </row>
    <row r="356" customFormat="false" ht="15" hidden="false" customHeight="false" outlineLevel="0" collapsed="false">
      <c r="A356" s="0" t="s">
        <v>960</v>
      </c>
      <c r="B356" s="0" t="s">
        <v>961</v>
      </c>
      <c r="C356" s="0" t="s">
        <v>590</v>
      </c>
      <c r="D356" s="0" t="s">
        <v>46</v>
      </c>
      <c r="E356" s="0" t="s">
        <v>357</v>
      </c>
      <c r="F356" s="0" t="s">
        <v>266</v>
      </c>
      <c r="G356" s="0" t="n">
        <v>1551000</v>
      </c>
      <c r="H356" s="0" t="n">
        <v>49769</v>
      </c>
      <c r="I356" s="0" t="n">
        <v>15890</v>
      </c>
      <c r="J356" s="0" t="n">
        <v>19.4</v>
      </c>
      <c r="K356" s="0" t="n">
        <v>15</v>
      </c>
      <c r="L356" s="0" t="n">
        <v>781</v>
      </c>
      <c r="M356" s="0" t="s">
        <v>20</v>
      </c>
      <c r="N356" s="0" t="s">
        <v>169</v>
      </c>
    </row>
    <row r="357" customFormat="false" ht="15" hidden="false" customHeight="false" outlineLevel="0" collapsed="false">
      <c r="A357" s="0" t="s">
        <v>962</v>
      </c>
      <c r="B357" s="0" t="s">
        <v>554</v>
      </c>
      <c r="C357" s="0" t="s">
        <v>417</v>
      </c>
      <c r="D357" s="0" t="s">
        <v>32</v>
      </c>
      <c r="E357" s="0" t="s">
        <v>284</v>
      </c>
      <c r="F357" s="0" t="s">
        <v>422</v>
      </c>
      <c r="G357" s="0" t="n">
        <v>2814277</v>
      </c>
      <c r="H357" s="0" t="n">
        <v>97582</v>
      </c>
      <c r="I357" s="0" t="n">
        <v>32171</v>
      </c>
      <c r="J357" s="0" t="n">
        <v>25.4</v>
      </c>
      <c r="K357" s="0" t="n">
        <v>14</v>
      </c>
      <c r="L357" s="0" t="n">
        <v>644</v>
      </c>
      <c r="M357" s="0" t="s">
        <v>54</v>
      </c>
      <c r="N357" s="0" t="s">
        <v>122</v>
      </c>
    </row>
    <row r="358" customFormat="false" ht="15" hidden="false" customHeight="false" outlineLevel="0" collapsed="false">
      <c r="A358" s="0" t="s">
        <v>963</v>
      </c>
      <c r="B358" s="0" t="s">
        <v>964</v>
      </c>
      <c r="C358" s="0" t="s">
        <v>701</v>
      </c>
      <c r="D358" s="0" t="s">
        <v>25</v>
      </c>
      <c r="E358" s="0" t="s">
        <v>66</v>
      </c>
      <c r="F358" s="0" t="s">
        <v>80</v>
      </c>
      <c r="G358" s="0" t="n">
        <v>3885272</v>
      </c>
      <c r="H358" s="0" t="n">
        <v>115892</v>
      </c>
      <c r="I358" s="0" t="n">
        <v>31882</v>
      </c>
      <c r="J358" s="0" t="n">
        <v>34.1</v>
      </c>
      <c r="K358" s="0" t="n">
        <v>8</v>
      </c>
      <c r="L358" s="0" t="n">
        <v>728</v>
      </c>
      <c r="M358" s="0" t="s">
        <v>20</v>
      </c>
      <c r="N358" s="0" t="s">
        <v>21</v>
      </c>
    </row>
    <row r="359" customFormat="false" ht="15" hidden="false" customHeight="false" outlineLevel="0" collapsed="false">
      <c r="A359" s="0" t="s">
        <v>965</v>
      </c>
      <c r="B359" s="0" t="s">
        <v>966</v>
      </c>
      <c r="C359" s="0" t="s">
        <v>114</v>
      </c>
      <c r="D359" s="0" t="s">
        <v>65</v>
      </c>
      <c r="E359" s="0" t="s">
        <v>257</v>
      </c>
      <c r="F359" s="0" t="s">
        <v>158</v>
      </c>
      <c r="G359" s="0" t="n">
        <v>1730774</v>
      </c>
      <c r="H359" s="0" t="n">
        <v>65960</v>
      </c>
      <c r="I359" s="0" t="n">
        <v>14731</v>
      </c>
      <c r="J359" s="0" t="n">
        <v>35</v>
      </c>
      <c r="K359" s="0" t="n">
        <v>11</v>
      </c>
      <c r="L359" s="0" t="n">
        <v>484</v>
      </c>
      <c r="M359" s="0" t="s">
        <v>20</v>
      </c>
      <c r="N359" s="0" t="s">
        <v>81</v>
      </c>
    </row>
    <row r="360" customFormat="false" ht="15" hidden="false" customHeight="false" outlineLevel="0" collapsed="false">
      <c r="A360" s="0" t="s">
        <v>967</v>
      </c>
      <c r="B360" s="0" t="s">
        <v>571</v>
      </c>
      <c r="C360" s="0" t="s">
        <v>456</v>
      </c>
      <c r="D360" s="0" t="s">
        <v>46</v>
      </c>
      <c r="E360" s="0" t="s">
        <v>390</v>
      </c>
      <c r="F360" s="0" t="s">
        <v>552</v>
      </c>
      <c r="G360" s="0" t="n">
        <v>2405825</v>
      </c>
      <c r="H360" s="0" t="n">
        <v>55335</v>
      </c>
      <c r="I360" s="0" t="n">
        <v>16170</v>
      </c>
      <c r="J360" s="0" t="n">
        <v>25.2</v>
      </c>
      <c r="K360" s="0" t="n">
        <v>5</v>
      </c>
      <c r="L360" s="0" t="n">
        <v>715</v>
      </c>
      <c r="M360" s="0" t="s">
        <v>20</v>
      </c>
      <c r="N360" s="0" t="s">
        <v>140</v>
      </c>
    </row>
    <row r="361" customFormat="false" ht="15" hidden="false" customHeight="false" outlineLevel="0" collapsed="false">
      <c r="A361" s="0" t="s">
        <v>968</v>
      </c>
      <c r="B361" s="0" t="s">
        <v>969</v>
      </c>
      <c r="C361" s="0" t="s">
        <v>276</v>
      </c>
      <c r="D361" s="0" t="s">
        <v>17</v>
      </c>
      <c r="E361" s="0" t="s">
        <v>224</v>
      </c>
      <c r="F361" s="0" t="s">
        <v>280</v>
      </c>
      <c r="G361" s="0" t="n">
        <v>2489945</v>
      </c>
      <c r="H361" s="0" t="n">
        <v>69860</v>
      </c>
      <c r="I361" s="0" t="n">
        <v>21625</v>
      </c>
      <c r="J361" s="0" t="n">
        <v>8.1</v>
      </c>
      <c r="K361" s="0" t="n">
        <v>16</v>
      </c>
      <c r="L361" s="0" t="n">
        <v>232</v>
      </c>
      <c r="M361" s="0" t="s">
        <v>54</v>
      </c>
      <c r="N361" s="0" t="s">
        <v>81</v>
      </c>
    </row>
    <row r="362" customFormat="false" ht="15" hidden="false" customHeight="false" outlineLevel="0" collapsed="false">
      <c r="A362" s="0" t="s">
        <v>970</v>
      </c>
      <c r="B362" s="0" t="s">
        <v>625</v>
      </c>
      <c r="C362" s="0" t="s">
        <v>456</v>
      </c>
      <c r="D362" s="0" t="s">
        <v>25</v>
      </c>
      <c r="E362" s="0" t="s">
        <v>153</v>
      </c>
      <c r="F362" s="0" t="s">
        <v>154</v>
      </c>
      <c r="G362" s="0" t="n">
        <v>4933786</v>
      </c>
      <c r="H362" s="0" t="n">
        <v>122778</v>
      </c>
      <c r="I362" s="0" t="n">
        <v>37837</v>
      </c>
      <c r="J362" s="0" t="n">
        <v>23</v>
      </c>
      <c r="K362" s="0" t="n">
        <v>22</v>
      </c>
      <c r="L362" s="0" t="n">
        <v>697</v>
      </c>
      <c r="M362" s="0" t="s">
        <v>20</v>
      </c>
      <c r="N362" s="0" t="s">
        <v>42</v>
      </c>
    </row>
    <row r="363" customFormat="false" ht="15" hidden="false" customHeight="false" outlineLevel="0" collapsed="false">
      <c r="A363" s="0" t="s">
        <v>971</v>
      </c>
      <c r="B363" s="0" t="s">
        <v>972</v>
      </c>
      <c r="C363" s="0" t="s">
        <v>24</v>
      </c>
      <c r="D363" s="0" t="s">
        <v>46</v>
      </c>
      <c r="E363" s="0" t="s">
        <v>138</v>
      </c>
      <c r="F363" s="0" t="s">
        <v>666</v>
      </c>
      <c r="G363" s="0" t="n">
        <v>2020647</v>
      </c>
      <c r="H363" s="0" t="n">
        <v>62322</v>
      </c>
      <c r="I363" s="0" t="n">
        <v>15374</v>
      </c>
      <c r="J363" s="0" t="n">
        <v>15.3</v>
      </c>
      <c r="K363" s="0" t="n">
        <v>20</v>
      </c>
      <c r="L363" s="0" t="n">
        <v>263</v>
      </c>
      <c r="M363" s="0" t="s">
        <v>20</v>
      </c>
      <c r="N363" s="0" t="s">
        <v>55</v>
      </c>
    </row>
    <row r="364" customFormat="false" ht="15" hidden="false" customHeight="false" outlineLevel="0" collapsed="false">
      <c r="A364" s="0" t="s">
        <v>973</v>
      </c>
      <c r="B364" s="0" t="s">
        <v>974</v>
      </c>
      <c r="C364" s="0" t="s">
        <v>175</v>
      </c>
      <c r="D364" s="0" t="s">
        <v>32</v>
      </c>
      <c r="E364" s="0" t="s">
        <v>675</v>
      </c>
      <c r="F364" s="0" t="s">
        <v>544</v>
      </c>
      <c r="G364" s="0" t="n">
        <v>4945770</v>
      </c>
      <c r="H364" s="0" t="n">
        <v>175427</v>
      </c>
      <c r="I364" s="0" t="n">
        <v>63975</v>
      </c>
      <c r="J364" s="0" t="n">
        <v>8.2</v>
      </c>
      <c r="K364" s="0" t="n">
        <v>5</v>
      </c>
      <c r="L364" s="0" t="n">
        <v>273</v>
      </c>
      <c r="M364" s="0" t="s">
        <v>20</v>
      </c>
      <c r="N364" s="0" t="s">
        <v>55</v>
      </c>
    </row>
    <row r="365" customFormat="false" ht="15" hidden="false" customHeight="false" outlineLevel="0" collapsed="false">
      <c r="A365" s="0" t="s">
        <v>975</v>
      </c>
      <c r="B365" s="0" t="s">
        <v>466</v>
      </c>
      <c r="C365" s="0" t="s">
        <v>24</v>
      </c>
      <c r="D365" s="0" t="s">
        <v>39</v>
      </c>
      <c r="E365" s="0" t="s">
        <v>48</v>
      </c>
      <c r="F365" s="0" t="s">
        <v>340</v>
      </c>
      <c r="G365" s="0" t="n">
        <v>2310470</v>
      </c>
      <c r="H365" s="0" t="n">
        <v>89089</v>
      </c>
      <c r="I365" s="0" t="n">
        <v>29300</v>
      </c>
      <c r="J365" s="0" t="n">
        <v>47.6</v>
      </c>
      <c r="K365" s="0" t="n">
        <v>12</v>
      </c>
      <c r="L365" s="0" t="n">
        <v>709</v>
      </c>
      <c r="M365" s="0" t="s">
        <v>20</v>
      </c>
      <c r="N365" s="0" t="s">
        <v>74</v>
      </c>
    </row>
    <row r="366" customFormat="false" ht="15" hidden="false" customHeight="false" outlineLevel="0" collapsed="false">
      <c r="A366" s="0" t="s">
        <v>976</v>
      </c>
      <c r="B366" s="0" t="s">
        <v>977</v>
      </c>
      <c r="C366" s="0" t="s">
        <v>84</v>
      </c>
      <c r="D366" s="0" t="s">
        <v>25</v>
      </c>
      <c r="E366" s="0" t="s">
        <v>552</v>
      </c>
      <c r="F366" s="0" t="s">
        <v>158</v>
      </c>
      <c r="G366" s="0" t="n">
        <v>2462423</v>
      </c>
      <c r="H366" s="0" t="n">
        <v>98928</v>
      </c>
      <c r="I366" s="0" t="n">
        <v>32344</v>
      </c>
      <c r="J366" s="0" t="n">
        <v>48.5</v>
      </c>
      <c r="K366" s="0" t="n">
        <v>23</v>
      </c>
      <c r="L366" s="0" t="n">
        <v>261</v>
      </c>
      <c r="M366" s="0" t="s">
        <v>35</v>
      </c>
      <c r="N366" s="0" t="s">
        <v>96</v>
      </c>
    </row>
    <row r="367" customFormat="false" ht="15" hidden="false" customHeight="false" outlineLevel="0" collapsed="false">
      <c r="A367" s="0" t="s">
        <v>978</v>
      </c>
      <c r="B367" s="0" t="s">
        <v>912</v>
      </c>
      <c r="C367" s="0" t="s">
        <v>119</v>
      </c>
      <c r="D367" s="0" t="s">
        <v>65</v>
      </c>
      <c r="E367" s="0" t="s">
        <v>241</v>
      </c>
      <c r="F367" s="0" t="s">
        <v>134</v>
      </c>
      <c r="G367" s="0" t="n">
        <v>2091663</v>
      </c>
      <c r="H367" s="0" t="n">
        <v>56034</v>
      </c>
      <c r="I367" s="0" t="n">
        <v>15756</v>
      </c>
      <c r="J367" s="0" t="n">
        <v>20.9</v>
      </c>
      <c r="K367" s="0" t="n">
        <v>16</v>
      </c>
      <c r="L367" s="0" t="n">
        <v>794</v>
      </c>
      <c r="M367" s="0" t="s">
        <v>35</v>
      </c>
      <c r="N367" s="0" t="s">
        <v>122</v>
      </c>
    </row>
    <row r="368" customFormat="false" ht="15" hidden="false" customHeight="false" outlineLevel="0" collapsed="false">
      <c r="A368" s="0" t="s">
        <v>979</v>
      </c>
      <c r="B368" s="0" t="s">
        <v>980</v>
      </c>
      <c r="C368" s="0" t="s">
        <v>832</v>
      </c>
      <c r="D368" s="0" t="s">
        <v>17</v>
      </c>
      <c r="E368" s="0" t="s">
        <v>618</v>
      </c>
      <c r="F368" s="0" t="s">
        <v>47</v>
      </c>
      <c r="G368" s="0" t="n">
        <v>1848713</v>
      </c>
      <c r="H368" s="0" t="n">
        <v>59669</v>
      </c>
      <c r="I368" s="0" t="n">
        <v>14631</v>
      </c>
      <c r="J368" s="0" t="n">
        <v>16.5</v>
      </c>
      <c r="K368" s="0" t="n">
        <v>8</v>
      </c>
      <c r="L368" s="0" t="n">
        <v>775</v>
      </c>
      <c r="M368" s="0" t="s">
        <v>35</v>
      </c>
      <c r="N368" s="0" t="s">
        <v>21</v>
      </c>
    </row>
    <row r="369" customFormat="false" ht="15" hidden="false" customHeight="false" outlineLevel="0" collapsed="false">
      <c r="A369" s="0" t="s">
        <v>981</v>
      </c>
      <c r="B369" s="0" t="s">
        <v>982</v>
      </c>
      <c r="C369" s="0" t="s">
        <v>983</v>
      </c>
      <c r="D369" s="0" t="s">
        <v>89</v>
      </c>
      <c r="E369" s="0" t="s">
        <v>425</v>
      </c>
      <c r="F369" s="0" t="s">
        <v>41</v>
      </c>
      <c r="G369" s="0" t="n">
        <v>1706772</v>
      </c>
      <c r="H369" s="0" t="n">
        <v>38416</v>
      </c>
      <c r="I369" s="0" t="n">
        <v>11135</v>
      </c>
      <c r="J369" s="0" t="n">
        <v>6.5</v>
      </c>
      <c r="K369" s="0" t="n">
        <v>7</v>
      </c>
      <c r="L369" s="0" t="n">
        <v>525</v>
      </c>
      <c r="M369" s="0" t="s">
        <v>20</v>
      </c>
      <c r="N369" s="0" t="s">
        <v>140</v>
      </c>
    </row>
    <row r="370" customFormat="false" ht="15" hidden="false" customHeight="false" outlineLevel="0" collapsed="false">
      <c r="A370" s="0" t="s">
        <v>984</v>
      </c>
      <c r="B370" s="0" t="s">
        <v>985</v>
      </c>
      <c r="C370" s="0" t="s">
        <v>986</v>
      </c>
      <c r="D370" s="0" t="s">
        <v>25</v>
      </c>
      <c r="E370" s="0" t="s">
        <v>40</v>
      </c>
      <c r="F370" s="0" t="s">
        <v>987</v>
      </c>
      <c r="G370" s="0" t="n">
        <v>3243039</v>
      </c>
      <c r="H370" s="0" t="n">
        <v>84311</v>
      </c>
      <c r="I370" s="0" t="n">
        <v>21444</v>
      </c>
      <c r="J370" s="0" t="n">
        <v>35.9</v>
      </c>
      <c r="K370" s="0" t="n">
        <v>7</v>
      </c>
      <c r="L370" s="0" t="n">
        <v>618</v>
      </c>
      <c r="M370" s="0" t="s">
        <v>20</v>
      </c>
      <c r="N370" s="0" t="s">
        <v>140</v>
      </c>
    </row>
    <row r="371" customFormat="false" ht="15" hidden="false" customHeight="false" outlineLevel="0" collapsed="false">
      <c r="A371" s="0" t="s">
        <v>988</v>
      </c>
      <c r="B371" s="0" t="s">
        <v>989</v>
      </c>
      <c r="C371" s="0" t="s">
        <v>167</v>
      </c>
      <c r="D371" s="0" t="s">
        <v>109</v>
      </c>
      <c r="E371" s="0" t="s">
        <v>115</v>
      </c>
      <c r="F371" s="0" t="s">
        <v>197</v>
      </c>
      <c r="G371" s="0" t="n">
        <v>1208605</v>
      </c>
      <c r="H371" s="0" t="n">
        <v>37938</v>
      </c>
      <c r="I371" s="0" t="n">
        <v>8765</v>
      </c>
      <c r="J371" s="0" t="n">
        <v>11.3</v>
      </c>
      <c r="K371" s="0" t="n">
        <v>17</v>
      </c>
      <c r="L371" s="0" t="n">
        <v>278</v>
      </c>
      <c r="M371" s="0" t="s">
        <v>54</v>
      </c>
      <c r="N371" s="0" t="s">
        <v>81</v>
      </c>
    </row>
    <row r="372" customFormat="false" ht="15" hidden="false" customHeight="false" outlineLevel="0" collapsed="false">
      <c r="A372" s="0" t="s">
        <v>990</v>
      </c>
      <c r="B372" s="0" t="s">
        <v>991</v>
      </c>
      <c r="C372" s="0" t="s">
        <v>276</v>
      </c>
      <c r="D372" s="0" t="s">
        <v>109</v>
      </c>
      <c r="E372" s="0" t="s">
        <v>252</v>
      </c>
      <c r="F372" s="0" t="s">
        <v>648</v>
      </c>
      <c r="G372" s="0" t="n">
        <v>1144928</v>
      </c>
      <c r="H372" s="0" t="n">
        <v>36993</v>
      </c>
      <c r="I372" s="0" t="n">
        <v>7798</v>
      </c>
      <c r="J372" s="0" t="n">
        <v>34.6</v>
      </c>
      <c r="K372" s="0" t="n">
        <v>19</v>
      </c>
      <c r="L372" s="0" t="n">
        <v>490</v>
      </c>
      <c r="M372" s="0" t="s">
        <v>20</v>
      </c>
      <c r="N372" s="0" t="s">
        <v>42</v>
      </c>
    </row>
    <row r="373" customFormat="false" ht="15" hidden="false" customHeight="false" outlineLevel="0" collapsed="false">
      <c r="A373" s="0" t="s">
        <v>992</v>
      </c>
      <c r="B373" s="0" t="s">
        <v>993</v>
      </c>
      <c r="C373" s="0" t="s">
        <v>827</v>
      </c>
      <c r="D373" s="0" t="s">
        <v>32</v>
      </c>
      <c r="E373" s="0" t="s">
        <v>125</v>
      </c>
      <c r="F373" s="0" t="s">
        <v>213</v>
      </c>
      <c r="G373" s="0" t="n">
        <v>2294924</v>
      </c>
      <c r="H373" s="0" t="n">
        <v>76315</v>
      </c>
      <c r="I373" s="0" t="n">
        <v>23011</v>
      </c>
      <c r="J373" s="0" t="n">
        <v>18.1</v>
      </c>
      <c r="K373" s="0" t="n">
        <v>20</v>
      </c>
      <c r="L373" s="0" t="n">
        <v>724</v>
      </c>
      <c r="M373" s="0" t="s">
        <v>35</v>
      </c>
      <c r="N373" s="0" t="s">
        <v>55</v>
      </c>
    </row>
    <row r="374" customFormat="false" ht="15" hidden="false" customHeight="false" outlineLevel="0" collapsed="false">
      <c r="A374" s="0" t="s">
        <v>994</v>
      </c>
      <c r="B374" s="0" t="s">
        <v>156</v>
      </c>
      <c r="C374" s="0" t="s">
        <v>787</v>
      </c>
      <c r="D374" s="0" t="s">
        <v>78</v>
      </c>
      <c r="E374" s="0" t="s">
        <v>770</v>
      </c>
      <c r="F374" s="0" t="s">
        <v>53</v>
      </c>
      <c r="G374" s="0" t="n">
        <v>5401188</v>
      </c>
      <c r="H374" s="0" t="n">
        <v>263671</v>
      </c>
      <c r="I374" s="0" t="n">
        <v>64400</v>
      </c>
      <c r="J374" s="0" t="n">
        <v>40.6</v>
      </c>
      <c r="K374" s="0" t="n">
        <v>22</v>
      </c>
      <c r="L374" s="0" t="n">
        <v>509</v>
      </c>
      <c r="M374" s="0" t="s">
        <v>20</v>
      </c>
      <c r="N374" s="0" t="s">
        <v>102</v>
      </c>
    </row>
    <row r="375" customFormat="false" ht="15" hidden="false" customHeight="false" outlineLevel="0" collapsed="false">
      <c r="A375" s="0" t="s">
        <v>995</v>
      </c>
      <c r="B375" s="0" t="s">
        <v>996</v>
      </c>
      <c r="C375" s="0" t="s">
        <v>192</v>
      </c>
      <c r="D375" s="0" t="s">
        <v>144</v>
      </c>
      <c r="E375" s="0" t="s">
        <v>539</v>
      </c>
      <c r="F375" s="0" t="s">
        <v>164</v>
      </c>
      <c r="G375" s="0" t="n">
        <v>1646813</v>
      </c>
      <c r="H375" s="0" t="n">
        <v>37975</v>
      </c>
      <c r="I375" s="0" t="n">
        <v>8397</v>
      </c>
      <c r="J375" s="0" t="n">
        <v>41.5</v>
      </c>
      <c r="K375" s="0" t="n">
        <v>10</v>
      </c>
      <c r="L375" s="0" t="n">
        <v>723</v>
      </c>
      <c r="M375" s="0" t="s">
        <v>54</v>
      </c>
      <c r="N375" s="0" t="s">
        <v>42</v>
      </c>
    </row>
    <row r="376" customFormat="false" ht="15" hidden="false" customHeight="false" outlineLevel="0" collapsed="false">
      <c r="A376" s="0" t="s">
        <v>997</v>
      </c>
      <c r="B376" s="0" t="s">
        <v>980</v>
      </c>
      <c r="C376" s="0" t="s">
        <v>714</v>
      </c>
      <c r="D376" s="0" t="s">
        <v>17</v>
      </c>
      <c r="E376" s="0" t="s">
        <v>125</v>
      </c>
      <c r="F376" s="0" t="s">
        <v>26</v>
      </c>
      <c r="G376" s="0" t="n">
        <v>2078782</v>
      </c>
      <c r="H376" s="0" t="n">
        <v>51387</v>
      </c>
      <c r="I376" s="0" t="n">
        <v>11332</v>
      </c>
      <c r="J376" s="0" t="n">
        <v>30.9</v>
      </c>
      <c r="K376" s="0" t="n">
        <v>13</v>
      </c>
      <c r="L376" s="0" t="n">
        <v>256</v>
      </c>
      <c r="M376" s="0" t="s">
        <v>20</v>
      </c>
      <c r="N376" s="0" t="s">
        <v>96</v>
      </c>
    </row>
    <row r="377" customFormat="false" ht="15" hidden="false" customHeight="false" outlineLevel="0" collapsed="false">
      <c r="A377" s="0" t="s">
        <v>998</v>
      </c>
      <c r="B377" s="0" t="s">
        <v>617</v>
      </c>
      <c r="C377" s="0" t="s">
        <v>549</v>
      </c>
      <c r="D377" s="0" t="s">
        <v>109</v>
      </c>
      <c r="E377" s="0" t="s">
        <v>390</v>
      </c>
      <c r="F377" s="0" t="s">
        <v>306</v>
      </c>
      <c r="G377" s="0" t="n">
        <v>1451378</v>
      </c>
      <c r="H377" s="0" t="n">
        <v>39812</v>
      </c>
      <c r="I377" s="0" t="n">
        <v>10900</v>
      </c>
      <c r="J377" s="0" t="n">
        <v>44</v>
      </c>
      <c r="K377" s="0" t="n">
        <v>6</v>
      </c>
      <c r="L377" s="0" t="n">
        <v>623</v>
      </c>
      <c r="M377" s="0" t="s">
        <v>20</v>
      </c>
      <c r="N377" s="0" t="s">
        <v>102</v>
      </c>
    </row>
    <row r="378" customFormat="false" ht="15" hidden="false" customHeight="false" outlineLevel="0" collapsed="false">
      <c r="A378" s="0" t="s">
        <v>999</v>
      </c>
      <c r="B378" s="0" t="s">
        <v>1000</v>
      </c>
      <c r="C378" s="0" t="s">
        <v>327</v>
      </c>
      <c r="D378" s="0" t="s">
        <v>78</v>
      </c>
      <c r="E378" s="0" t="s">
        <v>280</v>
      </c>
      <c r="F378" s="0" t="s">
        <v>18</v>
      </c>
      <c r="G378" s="0" t="n">
        <v>3074970</v>
      </c>
      <c r="H378" s="0" t="n">
        <v>101831</v>
      </c>
      <c r="I378" s="0" t="n">
        <v>37589</v>
      </c>
      <c r="J378" s="0" t="n">
        <v>52.2</v>
      </c>
      <c r="K378" s="0" t="n">
        <v>22</v>
      </c>
      <c r="L378" s="0" t="n">
        <v>344</v>
      </c>
      <c r="M378" s="0" t="s">
        <v>35</v>
      </c>
      <c r="N378" s="0" t="s">
        <v>169</v>
      </c>
    </row>
    <row r="379" customFormat="false" ht="15" hidden="false" customHeight="false" outlineLevel="0" collapsed="false">
      <c r="A379" s="0" t="s">
        <v>1001</v>
      </c>
      <c r="B379" s="0" t="s">
        <v>737</v>
      </c>
      <c r="C379" s="0" t="s">
        <v>175</v>
      </c>
      <c r="D379" s="0" t="s">
        <v>32</v>
      </c>
      <c r="E379" s="0" t="s">
        <v>163</v>
      </c>
      <c r="F379" s="0" t="s">
        <v>440</v>
      </c>
      <c r="G379" s="0" t="n">
        <v>3377101</v>
      </c>
      <c r="H379" s="0" t="n">
        <v>137251</v>
      </c>
      <c r="I379" s="0" t="n">
        <v>42203</v>
      </c>
      <c r="J379" s="0" t="n">
        <v>59.1</v>
      </c>
      <c r="K379" s="0" t="n">
        <v>23</v>
      </c>
      <c r="L379" s="0" t="n">
        <v>766</v>
      </c>
      <c r="M379" s="0" t="s">
        <v>54</v>
      </c>
      <c r="N379" s="0" t="s">
        <v>55</v>
      </c>
    </row>
    <row r="380" customFormat="false" ht="15" hidden="false" customHeight="false" outlineLevel="0" collapsed="false">
      <c r="A380" s="0" t="s">
        <v>1002</v>
      </c>
      <c r="B380" s="0" t="s">
        <v>1003</v>
      </c>
      <c r="C380" s="0" t="s">
        <v>64</v>
      </c>
      <c r="D380" s="0" t="s">
        <v>109</v>
      </c>
      <c r="E380" s="0" t="s">
        <v>85</v>
      </c>
      <c r="F380" s="0" t="s">
        <v>233</v>
      </c>
      <c r="G380" s="0" t="n">
        <v>1239926</v>
      </c>
      <c r="H380" s="0" t="n">
        <v>41273</v>
      </c>
      <c r="I380" s="0" t="n">
        <v>13721</v>
      </c>
      <c r="J380" s="0" t="n">
        <v>17.1</v>
      </c>
      <c r="K380" s="0" t="n">
        <v>14</v>
      </c>
      <c r="L380" s="0" t="n">
        <v>250</v>
      </c>
      <c r="M380" s="0" t="s">
        <v>54</v>
      </c>
      <c r="N380" s="0" t="s">
        <v>55</v>
      </c>
    </row>
    <row r="381" customFormat="false" ht="15" hidden="false" customHeight="false" outlineLevel="0" collapsed="false">
      <c r="A381" s="0" t="s">
        <v>1004</v>
      </c>
      <c r="B381" s="0" t="s">
        <v>1005</v>
      </c>
      <c r="C381" s="0" t="s">
        <v>24</v>
      </c>
      <c r="D381" s="0" t="s">
        <v>25</v>
      </c>
      <c r="E381" s="0" t="s">
        <v>158</v>
      </c>
      <c r="F381" s="0" t="s">
        <v>224</v>
      </c>
      <c r="G381" s="0" t="n">
        <v>4638052</v>
      </c>
      <c r="H381" s="0" t="n">
        <v>122404</v>
      </c>
      <c r="I381" s="0" t="n">
        <v>34470</v>
      </c>
      <c r="J381" s="0" t="n">
        <v>45.6</v>
      </c>
      <c r="K381" s="0" t="n">
        <v>24</v>
      </c>
      <c r="L381" s="0" t="n">
        <v>341</v>
      </c>
      <c r="M381" s="0" t="s">
        <v>20</v>
      </c>
      <c r="N381" s="0" t="s">
        <v>42</v>
      </c>
    </row>
    <row r="382" customFormat="false" ht="15" hidden="false" customHeight="false" outlineLevel="0" collapsed="false">
      <c r="A382" s="0" t="s">
        <v>1006</v>
      </c>
      <c r="B382" s="0" t="s">
        <v>507</v>
      </c>
      <c r="C382" s="0" t="s">
        <v>421</v>
      </c>
      <c r="D382" s="0" t="s">
        <v>109</v>
      </c>
      <c r="E382" s="0" t="s">
        <v>60</v>
      </c>
      <c r="F382" s="0" t="s">
        <v>61</v>
      </c>
      <c r="G382" s="0" t="n">
        <v>1438796</v>
      </c>
      <c r="H382" s="0" t="n">
        <v>47779</v>
      </c>
      <c r="I382" s="0" t="n">
        <v>11482</v>
      </c>
      <c r="J382" s="0" t="n">
        <v>55</v>
      </c>
      <c r="K382" s="0" t="n">
        <v>8</v>
      </c>
      <c r="L382" s="0" t="n">
        <v>738</v>
      </c>
      <c r="M382" s="0" t="s">
        <v>20</v>
      </c>
      <c r="N382" s="0" t="s">
        <v>21</v>
      </c>
    </row>
    <row r="383" customFormat="false" ht="15" hidden="false" customHeight="false" outlineLevel="0" collapsed="false">
      <c r="A383" s="0" t="s">
        <v>1007</v>
      </c>
      <c r="B383" s="0" t="s">
        <v>1008</v>
      </c>
      <c r="C383" s="0" t="s">
        <v>753</v>
      </c>
      <c r="D383" s="0" t="s">
        <v>25</v>
      </c>
      <c r="E383" s="0" t="s">
        <v>120</v>
      </c>
      <c r="F383" s="0" t="s">
        <v>204</v>
      </c>
      <c r="G383" s="0" t="n">
        <v>5270905</v>
      </c>
      <c r="H383" s="0" t="n">
        <v>158441</v>
      </c>
      <c r="I383" s="0" t="n">
        <v>61188</v>
      </c>
      <c r="J383" s="0" t="n">
        <v>20.3</v>
      </c>
      <c r="K383" s="0" t="n">
        <v>12</v>
      </c>
      <c r="L383" s="0" t="n">
        <v>161</v>
      </c>
      <c r="M383" s="0" t="s">
        <v>20</v>
      </c>
      <c r="N383" s="0" t="s">
        <v>74</v>
      </c>
    </row>
    <row r="384" customFormat="false" ht="15" hidden="false" customHeight="false" outlineLevel="0" collapsed="false">
      <c r="A384" s="0" t="s">
        <v>1009</v>
      </c>
      <c r="B384" s="0" t="s">
        <v>802</v>
      </c>
      <c r="C384" s="0" t="s">
        <v>701</v>
      </c>
      <c r="D384" s="0" t="s">
        <v>17</v>
      </c>
      <c r="E384" s="0" t="s">
        <v>120</v>
      </c>
      <c r="F384" s="0" t="s">
        <v>121</v>
      </c>
      <c r="G384" s="0" t="n">
        <v>2125223</v>
      </c>
      <c r="H384" s="0" t="n">
        <v>61277</v>
      </c>
      <c r="I384" s="0" t="n">
        <v>12014</v>
      </c>
      <c r="J384" s="0" t="n">
        <v>40</v>
      </c>
      <c r="K384" s="0" t="n">
        <v>6</v>
      </c>
      <c r="L384" s="0" t="n">
        <v>785</v>
      </c>
      <c r="M384" s="0" t="s">
        <v>20</v>
      </c>
      <c r="N384" s="0" t="s">
        <v>169</v>
      </c>
    </row>
    <row r="385" customFormat="false" ht="15" hidden="false" customHeight="false" outlineLevel="0" collapsed="false">
      <c r="A385" s="0" t="s">
        <v>1010</v>
      </c>
      <c r="B385" s="0" t="s">
        <v>1011</v>
      </c>
      <c r="C385" s="0" t="s">
        <v>1012</v>
      </c>
      <c r="D385" s="0" t="s">
        <v>78</v>
      </c>
      <c r="E385" s="0" t="s">
        <v>153</v>
      </c>
      <c r="F385" s="0" t="s">
        <v>154</v>
      </c>
      <c r="G385" s="0" t="n">
        <v>2734287</v>
      </c>
      <c r="H385" s="0" t="n">
        <v>89149</v>
      </c>
      <c r="I385" s="0" t="n">
        <v>22430</v>
      </c>
      <c r="J385" s="0" t="n">
        <v>45.4</v>
      </c>
      <c r="K385" s="0" t="n">
        <v>8</v>
      </c>
      <c r="L385" s="0" t="n">
        <v>659</v>
      </c>
      <c r="M385" s="0" t="s">
        <v>54</v>
      </c>
      <c r="N385" s="0" t="s">
        <v>96</v>
      </c>
    </row>
    <row r="386" customFormat="false" ht="15" hidden="false" customHeight="false" outlineLevel="0" collapsed="false">
      <c r="A386" s="0" t="s">
        <v>1013</v>
      </c>
      <c r="B386" s="0" t="s">
        <v>912</v>
      </c>
      <c r="C386" s="0" t="s">
        <v>1014</v>
      </c>
      <c r="D386" s="0" t="s">
        <v>65</v>
      </c>
      <c r="E386" s="0" t="s">
        <v>253</v>
      </c>
      <c r="F386" s="0" t="s">
        <v>346</v>
      </c>
      <c r="G386" s="0" t="n">
        <v>2282259</v>
      </c>
      <c r="H386" s="0" t="n">
        <v>78138</v>
      </c>
      <c r="I386" s="0" t="n">
        <v>16088</v>
      </c>
      <c r="J386" s="0" t="n">
        <v>22.7</v>
      </c>
      <c r="K386" s="0" t="n">
        <v>24</v>
      </c>
      <c r="L386" s="0" t="n">
        <v>688</v>
      </c>
      <c r="M386" s="0" t="s">
        <v>20</v>
      </c>
      <c r="N386" s="0" t="s">
        <v>42</v>
      </c>
    </row>
    <row r="387" customFormat="false" ht="15" hidden="false" customHeight="false" outlineLevel="0" collapsed="false">
      <c r="A387" s="0" t="s">
        <v>1015</v>
      </c>
      <c r="B387" s="0" t="s">
        <v>1016</v>
      </c>
      <c r="C387" s="0" t="s">
        <v>201</v>
      </c>
      <c r="D387" s="0" t="s">
        <v>78</v>
      </c>
      <c r="E387" s="0" t="s">
        <v>357</v>
      </c>
      <c r="F387" s="0" t="s">
        <v>266</v>
      </c>
      <c r="G387" s="0" t="n">
        <v>3176983</v>
      </c>
      <c r="H387" s="0" t="n">
        <v>106647</v>
      </c>
      <c r="I387" s="0" t="n">
        <v>30693</v>
      </c>
      <c r="J387" s="0" t="n">
        <v>37</v>
      </c>
      <c r="K387" s="0" t="n">
        <v>16</v>
      </c>
      <c r="L387" s="0" t="n">
        <v>423</v>
      </c>
      <c r="M387" s="0" t="s">
        <v>54</v>
      </c>
      <c r="N387" s="0" t="s">
        <v>102</v>
      </c>
    </row>
    <row r="388" customFormat="false" ht="15" hidden="false" customHeight="false" outlineLevel="0" collapsed="false">
      <c r="A388" s="0" t="s">
        <v>1017</v>
      </c>
      <c r="B388" s="0" t="s">
        <v>1018</v>
      </c>
      <c r="C388" s="0" t="s">
        <v>378</v>
      </c>
      <c r="D388" s="0" t="s">
        <v>109</v>
      </c>
      <c r="E388" s="0" t="s">
        <v>233</v>
      </c>
      <c r="F388" s="0" t="s">
        <v>353</v>
      </c>
      <c r="G388" s="0" t="n">
        <v>2177307</v>
      </c>
      <c r="H388" s="0" t="n">
        <v>54760</v>
      </c>
      <c r="I388" s="0" t="n">
        <v>17007</v>
      </c>
      <c r="J388" s="0" t="n">
        <v>6.4</v>
      </c>
      <c r="K388" s="0" t="n">
        <v>13</v>
      </c>
      <c r="L388" s="0" t="n">
        <v>729</v>
      </c>
      <c r="M388" s="0" t="s">
        <v>20</v>
      </c>
      <c r="N388" s="0" t="s">
        <v>102</v>
      </c>
    </row>
    <row r="389" customFormat="false" ht="15" hidden="false" customHeight="false" outlineLevel="0" collapsed="false">
      <c r="A389" s="0" t="s">
        <v>1019</v>
      </c>
      <c r="B389" s="0" t="s">
        <v>250</v>
      </c>
      <c r="C389" s="0" t="s">
        <v>1020</v>
      </c>
      <c r="D389" s="0" t="s">
        <v>39</v>
      </c>
      <c r="E389" s="0" t="s">
        <v>305</v>
      </c>
      <c r="F389" s="0" t="s">
        <v>248</v>
      </c>
      <c r="G389" s="0" t="n">
        <v>3303756</v>
      </c>
      <c r="H389" s="0" t="n">
        <v>173000</v>
      </c>
      <c r="I389" s="0" t="n">
        <v>45945</v>
      </c>
      <c r="J389" s="0" t="n">
        <v>29.6</v>
      </c>
      <c r="K389" s="0" t="n">
        <v>20</v>
      </c>
      <c r="L389" s="0" t="n">
        <v>328</v>
      </c>
      <c r="M389" s="0" t="s">
        <v>20</v>
      </c>
      <c r="N389" s="0" t="s">
        <v>102</v>
      </c>
    </row>
    <row r="390" customFormat="false" ht="15" hidden="false" customHeight="false" outlineLevel="0" collapsed="false">
      <c r="A390" s="0" t="s">
        <v>1021</v>
      </c>
      <c r="B390" s="0" t="s">
        <v>1022</v>
      </c>
      <c r="C390" s="0" t="s">
        <v>93</v>
      </c>
      <c r="D390" s="0" t="s">
        <v>78</v>
      </c>
      <c r="E390" s="0" t="s">
        <v>418</v>
      </c>
      <c r="F390" s="0" t="s">
        <v>213</v>
      </c>
      <c r="G390" s="0" t="n">
        <v>3889248</v>
      </c>
      <c r="H390" s="0" t="n">
        <v>144994</v>
      </c>
      <c r="I390" s="0" t="n">
        <v>39025</v>
      </c>
      <c r="J390" s="0" t="n">
        <v>23.3</v>
      </c>
      <c r="K390" s="0" t="n">
        <v>21</v>
      </c>
      <c r="L390" s="0" t="n">
        <v>355</v>
      </c>
      <c r="M390" s="0" t="s">
        <v>20</v>
      </c>
      <c r="N390" s="0" t="s">
        <v>140</v>
      </c>
    </row>
    <row r="391" customFormat="false" ht="15" hidden="false" customHeight="false" outlineLevel="0" collapsed="false">
      <c r="A391" s="0" t="s">
        <v>1023</v>
      </c>
      <c r="B391" s="0" t="s">
        <v>366</v>
      </c>
      <c r="C391" s="0" t="s">
        <v>217</v>
      </c>
      <c r="D391" s="0" t="s">
        <v>78</v>
      </c>
      <c r="E391" s="0" t="s">
        <v>257</v>
      </c>
      <c r="F391" s="0" t="s">
        <v>440</v>
      </c>
      <c r="G391" s="0" t="n">
        <v>2398039</v>
      </c>
      <c r="H391" s="0" t="n">
        <v>89389</v>
      </c>
      <c r="I391" s="0" t="n">
        <v>18560</v>
      </c>
      <c r="J391" s="0" t="n">
        <v>21.3</v>
      </c>
      <c r="K391" s="0" t="n">
        <v>12</v>
      </c>
      <c r="L391" s="0" t="n">
        <v>395</v>
      </c>
      <c r="M391" s="0" t="s">
        <v>20</v>
      </c>
      <c r="N391" s="0" t="s">
        <v>21</v>
      </c>
    </row>
    <row r="392" customFormat="false" ht="15" hidden="false" customHeight="false" outlineLevel="0" collapsed="false">
      <c r="A392" s="0" t="s">
        <v>1024</v>
      </c>
      <c r="B392" s="0" t="s">
        <v>1025</v>
      </c>
      <c r="C392" s="0" t="s">
        <v>232</v>
      </c>
      <c r="D392" s="0" t="s">
        <v>109</v>
      </c>
      <c r="E392" s="0" t="s">
        <v>34</v>
      </c>
      <c r="F392" s="0" t="s">
        <v>130</v>
      </c>
      <c r="G392" s="0" t="n">
        <v>1724736</v>
      </c>
      <c r="H392" s="0" t="n">
        <v>54003</v>
      </c>
      <c r="I392" s="0" t="n">
        <v>15045</v>
      </c>
      <c r="J392" s="0" t="n">
        <v>42.3</v>
      </c>
      <c r="K392" s="0" t="n">
        <v>18</v>
      </c>
      <c r="L392" s="0" t="n">
        <v>754</v>
      </c>
      <c r="M392" s="0" t="s">
        <v>54</v>
      </c>
      <c r="N392" s="0" t="s">
        <v>55</v>
      </c>
    </row>
    <row r="393" customFormat="false" ht="15" hidden="false" customHeight="false" outlineLevel="0" collapsed="false">
      <c r="A393" s="0" t="s">
        <v>1026</v>
      </c>
      <c r="B393" s="0" t="s">
        <v>1027</v>
      </c>
      <c r="C393" s="0" t="s">
        <v>478</v>
      </c>
      <c r="D393" s="0" t="s">
        <v>65</v>
      </c>
      <c r="E393" s="0" t="s">
        <v>95</v>
      </c>
      <c r="F393" s="0" t="s">
        <v>959</v>
      </c>
      <c r="G393" s="0" t="n">
        <v>1102733</v>
      </c>
      <c r="H393" s="0" t="n">
        <v>40694</v>
      </c>
      <c r="I393" s="0" t="n">
        <v>9621</v>
      </c>
      <c r="J393" s="0" t="n">
        <v>38.1</v>
      </c>
      <c r="K393" s="0" t="n">
        <v>16</v>
      </c>
      <c r="L393" s="0" t="n">
        <v>412</v>
      </c>
      <c r="M393" s="0" t="s">
        <v>54</v>
      </c>
      <c r="N393" s="0" t="s">
        <v>74</v>
      </c>
    </row>
    <row r="394" customFormat="false" ht="15" hidden="false" customHeight="false" outlineLevel="0" collapsed="false">
      <c r="A394" s="0" t="s">
        <v>1028</v>
      </c>
      <c r="B394" s="0" t="s">
        <v>474</v>
      </c>
      <c r="C394" s="0" t="s">
        <v>510</v>
      </c>
      <c r="D394" s="0" t="s">
        <v>25</v>
      </c>
      <c r="E394" s="0" t="s">
        <v>380</v>
      </c>
      <c r="F394" s="0" t="s">
        <v>372</v>
      </c>
      <c r="G394" s="0" t="n">
        <v>2025968</v>
      </c>
      <c r="H394" s="0" t="n">
        <v>67577</v>
      </c>
      <c r="I394" s="0" t="n">
        <v>22648</v>
      </c>
      <c r="J394" s="0" t="n">
        <v>52.3</v>
      </c>
      <c r="K394" s="0" t="n">
        <v>5</v>
      </c>
      <c r="L394" s="0" t="n">
        <v>175</v>
      </c>
      <c r="M394" s="0" t="s">
        <v>20</v>
      </c>
      <c r="N394" s="0" t="s">
        <v>96</v>
      </c>
    </row>
    <row r="395" customFormat="false" ht="15" hidden="false" customHeight="false" outlineLevel="0" collapsed="false">
      <c r="A395" s="0" t="s">
        <v>1029</v>
      </c>
      <c r="B395" s="0" t="s">
        <v>352</v>
      </c>
      <c r="C395" s="0" t="s">
        <v>698</v>
      </c>
      <c r="D395" s="0" t="s">
        <v>109</v>
      </c>
      <c r="E395" s="0" t="s">
        <v>90</v>
      </c>
      <c r="F395" s="0" t="s">
        <v>959</v>
      </c>
      <c r="G395" s="0" t="n">
        <v>2132055</v>
      </c>
      <c r="H395" s="0" t="n">
        <v>51592</v>
      </c>
      <c r="I395" s="0" t="n">
        <v>12540</v>
      </c>
      <c r="J395" s="0" t="n">
        <v>30.2</v>
      </c>
      <c r="K395" s="0" t="n">
        <v>13</v>
      </c>
      <c r="L395" s="0" t="n">
        <v>426</v>
      </c>
      <c r="M395" s="0" t="s">
        <v>35</v>
      </c>
      <c r="N395" s="0" t="s">
        <v>21</v>
      </c>
    </row>
    <row r="396" customFormat="false" ht="15" hidden="false" customHeight="false" outlineLevel="0" collapsed="false">
      <c r="A396" s="0" t="s">
        <v>1030</v>
      </c>
      <c r="B396" s="0" t="s">
        <v>1031</v>
      </c>
      <c r="C396" s="0" t="s">
        <v>45</v>
      </c>
      <c r="D396" s="0" t="s">
        <v>17</v>
      </c>
      <c r="E396" s="0" t="s">
        <v>79</v>
      </c>
      <c r="F396" s="0" t="s">
        <v>186</v>
      </c>
      <c r="G396" s="0" t="n">
        <v>1909532</v>
      </c>
      <c r="H396" s="0" t="n">
        <v>49066</v>
      </c>
      <c r="I396" s="0" t="n">
        <v>12114</v>
      </c>
      <c r="J396" s="0" t="n">
        <v>23.1</v>
      </c>
      <c r="K396" s="0" t="n">
        <v>13</v>
      </c>
      <c r="L396" s="0" t="n">
        <v>410</v>
      </c>
      <c r="M396" s="0" t="s">
        <v>54</v>
      </c>
      <c r="N396" s="0" t="s">
        <v>140</v>
      </c>
    </row>
    <row r="397" customFormat="false" ht="15" hidden="false" customHeight="false" outlineLevel="0" collapsed="false">
      <c r="A397" s="0" t="s">
        <v>1032</v>
      </c>
      <c r="B397" s="0" t="s">
        <v>1033</v>
      </c>
      <c r="C397" s="0" t="s">
        <v>345</v>
      </c>
      <c r="D397" s="0" t="s">
        <v>59</v>
      </c>
      <c r="E397" s="0" t="s">
        <v>94</v>
      </c>
      <c r="F397" s="0" t="s">
        <v>618</v>
      </c>
      <c r="G397" s="0" t="n">
        <v>3675787</v>
      </c>
      <c r="H397" s="0" t="n">
        <v>188681</v>
      </c>
      <c r="I397" s="0" t="n">
        <v>58530</v>
      </c>
      <c r="J397" s="0" t="n">
        <v>22.1</v>
      </c>
      <c r="K397" s="0" t="n">
        <v>24</v>
      </c>
      <c r="L397" s="0" t="n">
        <v>174</v>
      </c>
      <c r="M397" s="0" t="s">
        <v>35</v>
      </c>
      <c r="N397" s="0" t="s">
        <v>122</v>
      </c>
    </row>
    <row r="398" customFormat="false" ht="15" hidden="false" customHeight="false" outlineLevel="0" collapsed="false">
      <c r="A398" s="0" t="s">
        <v>1034</v>
      </c>
      <c r="B398" s="0" t="s">
        <v>1035</v>
      </c>
      <c r="C398" s="0" t="s">
        <v>31</v>
      </c>
      <c r="D398" s="0" t="s">
        <v>25</v>
      </c>
      <c r="E398" s="0" t="s">
        <v>224</v>
      </c>
      <c r="F398" s="0" t="s">
        <v>280</v>
      </c>
      <c r="G398" s="0" t="n">
        <v>2544420</v>
      </c>
      <c r="H398" s="0" t="n">
        <v>111845</v>
      </c>
      <c r="I398" s="0" t="n">
        <v>23662</v>
      </c>
      <c r="J398" s="0" t="n">
        <v>52.5</v>
      </c>
      <c r="K398" s="0" t="n">
        <v>11</v>
      </c>
      <c r="L398" s="0" t="n">
        <v>463</v>
      </c>
      <c r="M398" s="0" t="s">
        <v>20</v>
      </c>
      <c r="N398" s="0" t="s">
        <v>81</v>
      </c>
    </row>
    <row r="399" customFormat="false" ht="15" hidden="false" customHeight="false" outlineLevel="0" collapsed="false">
      <c r="A399" s="0" t="s">
        <v>1036</v>
      </c>
      <c r="B399" s="0" t="s">
        <v>1037</v>
      </c>
      <c r="C399" s="0" t="s">
        <v>983</v>
      </c>
      <c r="D399" s="0" t="s">
        <v>89</v>
      </c>
      <c r="E399" s="0" t="s">
        <v>1038</v>
      </c>
      <c r="F399" s="0" t="s">
        <v>562</v>
      </c>
      <c r="G399" s="0" t="n">
        <v>1607559</v>
      </c>
      <c r="H399" s="0" t="n">
        <v>36098</v>
      </c>
      <c r="I399" s="0" t="n">
        <v>13737</v>
      </c>
      <c r="J399" s="0" t="n">
        <v>33</v>
      </c>
      <c r="K399" s="0" t="n">
        <v>9</v>
      </c>
      <c r="L399" s="0" t="n">
        <v>448</v>
      </c>
      <c r="M399" s="0" t="s">
        <v>20</v>
      </c>
      <c r="N399" s="0" t="s">
        <v>42</v>
      </c>
    </row>
    <row r="400" customFormat="false" ht="15" hidden="false" customHeight="false" outlineLevel="0" collapsed="false">
      <c r="A400" s="0" t="s">
        <v>1039</v>
      </c>
      <c r="B400" s="0" t="s">
        <v>1040</v>
      </c>
      <c r="C400" s="0" t="s">
        <v>456</v>
      </c>
      <c r="D400" s="0" t="s">
        <v>39</v>
      </c>
      <c r="E400" s="0" t="s">
        <v>106</v>
      </c>
      <c r="F400" s="0" t="s">
        <v>73</v>
      </c>
      <c r="G400" s="0" t="n">
        <v>3256012</v>
      </c>
      <c r="H400" s="0" t="n">
        <v>120798</v>
      </c>
      <c r="I400" s="0" t="n">
        <v>33130</v>
      </c>
      <c r="J400" s="0" t="n">
        <v>48.1</v>
      </c>
      <c r="K400" s="0" t="n">
        <v>14</v>
      </c>
      <c r="L400" s="0" t="n">
        <v>553</v>
      </c>
      <c r="M400" s="0" t="s">
        <v>54</v>
      </c>
      <c r="N400" s="0" t="s">
        <v>81</v>
      </c>
    </row>
    <row r="401" customFormat="false" ht="15" hidden="false" customHeight="false" outlineLevel="0" collapsed="false">
      <c r="A401" s="0" t="s">
        <v>1041</v>
      </c>
      <c r="B401" s="0" t="s">
        <v>1042</v>
      </c>
      <c r="C401" s="0" t="s">
        <v>806</v>
      </c>
      <c r="D401" s="0" t="s">
        <v>59</v>
      </c>
      <c r="E401" s="0" t="s">
        <v>788</v>
      </c>
      <c r="F401" s="0" t="s">
        <v>252</v>
      </c>
      <c r="G401" s="0" t="n">
        <v>3823013</v>
      </c>
      <c r="H401" s="0" t="n">
        <v>209220</v>
      </c>
      <c r="I401" s="0" t="n">
        <v>60551</v>
      </c>
      <c r="J401" s="0" t="n">
        <v>56.8</v>
      </c>
      <c r="K401" s="0" t="n">
        <v>6</v>
      </c>
      <c r="L401" s="0" t="n">
        <v>661</v>
      </c>
      <c r="M401" s="0" t="s">
        <v>54</v>
      </c>
      <c r="N401" s="0" t="s">
        <v>55</v>
      </c>
    </row>
    <row r="402" customFormat="false" ht="15" hidden="false" customHeight="false" outlineLevel="0" collapsed="false">
      <c r="A402" s="0" t="s">
        <v>1043</v>
      </c>
      <c r="B402" s="0" t="s">
        <v>1044</v>
      </c>
      <c r="C402" s="0" t="s">
        <v>378</v>
      </c>
      <c r="D402" s="0" t="s">
        <v>46</v>
      </c>
      <c r="E402" s="0" t="s">
        <v>116</v>
      </c>
      <c r="F402" s="0" t="s">
        <v>306</v>
      </c>
      <c r="G402" s="0" t="n">
        <v>2132240</v>
      </c>
      <c r="H402" s="0" t="n">
        <v>60534</v>
      </c>
      <c r="I402" s="0" t="n">
        <v>19107</v>
      </c>
      <c r="J402" s="0" t="n">
        <v>33.8</v>
      </c>
      <c r="K402" s="0" t="n">
        <v>9</v>
      </c>
      <c r="L402" s="0" t="n">
        <v>448</v>
      </c>
      <c r="M402" s="0" t="s">
        <v>20</v>
      </c>
      <c r="N402" s="0" t="s">
        <v>42</v>
      </c>
    </row>
    <row r="403" customFormat="false" ht="15" hidden="false" customHeight="false" outlineLevel="0" collapsed="false">
      <c r="A403" s="0" t="s">
        <v>1045</v>
      </c>
      <c r="B403" s="0" t="s">
        <v>1046</v>
      </c>
      <c r="C403" s="0" t="s">
        <v>1014</v>
      </c>
      <c r="D403" s="0" t="s">
        <v>59</v>
      </c>
      <c r="E403" s="0" t="s">
        <v>48</v>
      </c>
      <c r="F403" s="0" t="s">
        <v>72</v>
      </c>
      <c r="G403" s="0" t="n">
        <v>3306855</v>
      </c>
      <c r="H403" s="0" t="n">
        <v>122156</v>
      </c>
      <c r="I403" s="0" t="n">
        <v>31594</v>
      </c>
      <c r="J403" s="0" t="n">
        <v>48.3</v>
      </c>
      <c r="K403" s="0" t="n">
        <v>10</v>
      </c>
      <c r="L403" s="0" t="n">
        <v>321</v>
      </c>
      <c r="M403" s="0" t="s">
        <v>20</v>
      </c>
      <c r="N403" s="0" t="s">
        <v>102</v>
      </c>
    </row>
    <row r="404" customFormat="false" ht="15" hidden="false" customHeight="false" outlineLevel="0" collapsed="false">
      <c r="A404" s="0" t="s">
        <v>1047</v>
      </c>
      <c r="B404" s="0" t="s">
        <v>993</v>
      </c>
      <c r="C404" s="0" t="s">
        <v>58</v>
      </c>
      <c r="D404" s="0" t="s">
        <v>32</v>
      </c>
      <c r="E404" s="0" t="s">
        <v>292</v>
      </c>
      <c r="F404" s="0" t="s">
        <v>27</v>
      </c>
      <c r="G404" s="0" t="n">
        <v>3758705</v>
      </c>
      <c r="H404" s="0" t="n">
        <v>145131</v>
      </c>
      <c r="I404" s="0" t="n">
        <v>34703</v>
      </c>
      <c r="J404" s="0" t="n">
        <v>31.5</v>
      </c>
      <c r="K404" s="0" t="n">
        <v>15</v>
      </c>
      <c r="L404" s="0" t="n">
        <v>268</v>
      </c>
      <c r="M404" s="0" t="s">
        <v>20</v>
      </c>
      <c r="N404" s="0" t="s">
        <v>55</v>
      </c>
    </row>
    <row r="405" customFormat="false" ht="15" hidden="false" customHeight="false" outlineLevel="0" collapsed="false">
      <c r="A405" s="0" t="s">
        <v>1048</v>
      </c>
      <c r="B405" s="0" t="s">
        <v>613</v>
      </c>
      <c r="C405" s="0" t="s">
        <v>212</v>
      </c>
      <c r="D405" s="0" t="s">
        <v>46</v>
      </c>
      <c r="E405" s="0" t="s">
        <v>335</v>
      </c>
      <c r="F405" s="0" t="s">
        <v>115</v>
      </c>
      <c r="G405" s="0" t="n">
        <v>2649138</v>
      </c>
      <c r="H405" s="0" t="n">
        <v>74921</v>
      </c>
      <c r="I405" s="0" t="n">
        <v>22545</v>
      </c>
      <c r="J405" s="0" t="n">
        <v>45.2</v>
      </c>
      <c r="K405" s="0" t="n">
        <v>20</v>
      </c>
      <c r="L405" s="0" t="n">
        <v>751</v>
      </c>
      <c r="M405" s="0" t="s">
        <v>35</v>
      </c>
      <c r="N405" s="0" t="s">
        <v>169</v>
      </c>
    </row>
    <row r="406" customFormat="false" ht="15" hidden="false" customHeight="false" outlineLevel="0" collapsed="false">
      <c r="A406" s="0" t="s">
        <v>1049</v>
      </c>
      <c r="B406" s="0" t="s">
        <v>1050</v>
      </c>
      <c r="C406" s="0" t="s">
        <v>392</v>
      </c>
      <c r="D406" s="0" t="s">
        <v>25</v>
      </c>
      <c r="E406" s="0" t="s">
        <v>389</v>
      </c>
      <c r="F406" s="0" t="s">
        <v>390</v>
      </c>
      <c r="G406" s="0" t="n">
        <v>2743523</v>
      </c>
      <c r="H406" s="0" t="n">
        <v>71322</v>
      </c>
      <c r="I406" s="0" t="n">
        <v>18701</v>
      </c>
      <c r="J406" s="0" t="n">
        <v>6.7</v>
      </c>
      <c r="K406" s="0" t="n">
        <v>25</v>
      </c>
      <c r="L406" s="0" t="n">
        <v>425</v>
      </c>
      <c r="M406" s="0" t="s">
        <v>20</v>
      </c>
      <c r="N406" s="0" t="s">
        <v>96</v>
      </c>
    </row>
    <row r="407" customFormat="false" ht="15" hidden="false" customHeight="false" outlineLevel="0" collapsed="false">
      <c r="A407" s="0" t="s">
        <v>1051</v>
      </c>
      <c r="B407" s="0" t="s">
        <v>1052</v>
      </c>
      <c r="C407" s="0" t="s">
        <v>1053</v>
      </c>
      <c r="D407" s="0" t="s">
        <v>109</v>
      </c>
      <c r="E407" s="0" t="s">
        <v>154</v>
      </c>
      <c r="F407" s="0" t="s">
        <v>368</v>
      </c>
      <c r="G407" s="0" t="n">
        <v>1424470</v>
      </c>
      <c r="H407" s="0" t="n">
        <v>39377</v>
      </c>
      <c r="I407" s="0" t="n">
        <v>14316</v>
      </c>
      <c r="J407" s="0" t="n">
        <v>47.7</v>
      </c>
      <c r="K407" s="0" t="n">
        <v>17</v>
      </c>
      <c r="L407" s="0" t="n">
        <v>630</v>
      </c>
      <c r="M407" s="0" t="s">
        <v>35</v>
      </c>
      <c r="N407" s="0" t="s">
        <v>21</v>
      </c>
    </row>
    <row r="408" customFormat="false" ht="15" hidden="false" customHeight="false" outlineLevel="0" collapsed="false">
      <c r="A408" s="0" t="s">
        <v>1054</v>
      </c>
      <c r="B408" s="0" t="s">
        <v>1055</v>
      </c>
      <c r="C408" s="0" t="s">
        <v>1056</v>
      </c>
      <c r="D408" s="0" t="s">
        <v>89</v>
      </c>
      <c r="E408" s="0" t="s">
        <v>116</v>
      </c>
      <c r="F408" s="0" t="s">
        <v>197</v>
      </c>
      <c r="G408" s="0" t="n">
        <v>1288568</v>
      </c>
      <c r="H408" s="0" t="n">
        <v>37225</v>
      </c>
      <c r="I408" s="0" t="n">
        <v>12144</v>
      </c>
      <c r="J408" s="0" t="n">
        <v>47.7</v>
      </c>
      <c r="K408" s="0" t="n">
        <v>18</v>
      </c>
      <c r="L408" s="0" t="n">
        <v>438</v>
      </c>
      <c r="M408" s="0" t="s">
        <v>35</v>
      </c>
      <c r="N408" s="0" t="s">
        <v>81</v>
      </c>
    </row>
    <row r="409" customFormat="false" ht="15" hidden="false" customHeight="false" outlineLevel="0" collapsed="false">
      <c r="A409" s="0" t="s">
        <v>1057</v>
      </c>
      <c r="B409" s="0" t="s">
        <v>1058</v>
      </c>
      <c r="C409" s="0" t="s">
        <v>88</v>
      </c>
      <c r="D409" s="0" t="s">
        <v>46</v>
      </c>
      <c r="E409" s="0" t="s">
        <v>40</v>
      </c>
      <c r="F409" s="0" t="s">
        <v>47</v>
      </c>
      <c r="G409" s="0" t="n">
        <v>2459132</v>
      </c>
      <c r="H409" s="0" t="n">
        <v>73707</v>
      </c>
      <c r="I409" s="0" t="n">
        <v>18236</v>
      </c>
      <c r="J409" s="0" t="n">
        <v>28.3</v>
      </c>
      <c r="K409" s="0" t="n">
        <v>13</v>
      </c>
      <c r="L409" s="0" t="n">
        <v>168</v>
      </c>
      <c r="M409" s="0" t="s">
        <v>20</v>
      </c>
      <c r="N409" s="0" t="s">
        <v>55</v>
      </c>
    </row>
    <row r="410" customFormat="false" ht="15" hidden="false" customHeight="false" outlineLevel="0" collapsed="false">
      <c r="A410" s="0" t="s">
        <v>1059</v>
      </c>
      <c r="B410" s="0" t="s">
        <v>1060</v>
      </c>
      <c r="C410" s="0" t="s">
        <v>317</v>
      </c>
      <c r="D410" s="0" t="s">
        <v>46</v>
      </c>
      <c r="E410" s="0" t="s">
        <v>335</v>
      </c>
      <c r="F410" s="0" t="s">
        <v>248</v>
      </c>
      <c r="G410" s="0" t="n">
        <v>2710922</v>
      </c>
      <c r="H410" s="0" t="n">
        <v>102638</v>
      </c>
      <c r="I410" s="0" t="n">
        <v>32086</v>
      </c>
      <c r="J410" s="0" t="n">
        <v>56.6</v>
      </c>
      <c r="K410" s="0" t="n">
        <v>22</v>
      </c>
      <c r="L410" s="0" t="n">
        <v>212</v>
      </c>
      <c r="M410" s="0" t="s">
        <v>20</v>
      </c>
      <c r="N410" s="0" t="s">
        <v>81</v>
      </c>
    </row>
    <row r="411" customFormat="false" ht="15" hidden="false" customHeight="false" outlineLevel="0" collapsed="false">
      <c r="A411" s="0" t="s">
        <v>1061</v>
      </c>
      <c r="B411" s="0" t="s">
        <v>1062</v>
      </c>
      <c r="C411" s="0" t="s">
        <v>1063</v>
      </c>
      <c r="D411" s="0" t="s">
        <v>65</v>
      </c>
      <c r="E411" s="0" t="s">
        <v>574</v>
      </c>
      <c r="F411" s="0" t="s">
        <v>111</v>
      </c>
      <c r="G411" s="0" t="n">
        <v>2509934</v>
      </c>
      <c r="H411" s="0" t="n">
        <v>76923</v>
      </c>
      <c r="I411" s="0" t="n">
        <v>17661</v>
      </c>
      <c r="J411" s="0" t="n">
        <v>36.6</v>
      </c>
      <c r="K411" s="0" t="n">
        <v>6</v>
      </c>
      <c r="L411" s="0" t="n">
        <v>547</v>
      </c>
      <c r="M411" s="0" t="s">
        <v>20</v>
      </c>
      <c r="N411" s="0" t="s">
        <v>122</v>
      </c>
    </row>
    <row r="412" customFormat="false" ht="15" hidden="false" customHeight="false" outlineLevel="0" collapsed="false">
      <c r="A412" s="0" t="s">
        <v>1064</v>
      </c>
      <c r="B412" s="0" t="s">
        <v>1065</v>
      </c>
      <c r="C412" s="0" t="s">
        <v>1066</v>
      </c>
      <c r="D412" s="0" t="s">
        <v>89</v>
      </c>
      <c r="E412" s="0" t="s">
        <v>19</v>
      </c>
      <c r="F412" s="0" t="s">
        <v>299</v>
      </c>
      <c r="G412" s="0" t="n">
        <v>1217323</v>
      </c>
      <c r="H412" s="0" t="n">
        <v>32105</v>
      </c>
      <c r="I412" s="0" t="n">
        <v>9381</v>
      </c>
      <c r="J412" s="0" t="n">
        <v>35.7</v>
      </c>
      <c r="K412" s="0" t="n">
        <v>20</v>
      </c>
      <c r="L412" s="0" t="n">
        <v>792</v>
      </c>
      <c r="M412" s="0" t="s">
        <v>20</v>
      </c>
      <c r="N412" s="0" t="s">
        <v>81</v>
      </c>
    </row>
    <row r="413" customFormat="false" ht="15" hidden="false" customHeight="false" outlineLevel="0" collapsed="false">
      <c r="A413" s="0" t="s">
        <v>1067</v>
      </c>
      <c r="B413" s="0" t="s">
        <v>1068</v>
      </c>
      <c r="C413" s="0" t="s">
        <v>513</v>
      </c>
      <c r="D413" s="0" t="s">
        <v>71</v>
      </c>
      <c r="E413" s="0" t="s">
        <v>244</v>
      </c>
      <c r="F413" s="0" t="s">
        <v>321</v>
      </c>
      <c r="G413" s="0" t="n">
        <v>1286611</v>
      </c>
      <c r="H413" s="0" t="n">
        <v>34796</v>
      </c>
      <c r="I413" s="0" t="n">
        <v>7647</v>
      </c>
      <c r="J413" s="0" t="n">
        <v>6.8</v>
      </c>
      <c r="K413" s="0" t="n">
        <v>6</v>
      </c>
      <c r="L413" s="0" t="n">
        <v>702</v>
      </c>
      <c r="M413" s="0" t="s">
        <v>54</v>
      </c>
      <c r="N413" s="0" t="s">
        <v>96</v>
      </c>
    </row>
    <row r="414" customFormat="false" ht="15" hidden="false" customHeight="false" outlineLevel="0" collapsed="false">
      <c r="A414" s="0" t="s">
        <v>1069</v>
      </c>
      <c r="B414" s="0" t="s">
        <v>1070</v>
      </c>
      <c r="C414" s="0" t="s">
        <v>749</v>
      </c>
      <c r="D414" s="0" t="s">
        <v>144</v>
      </c>
      <c r="E414" s="0" t="s">
        <v>145</v>
      </c>
      <c r="F414" s="0" t="s">
        <v>204</v>
      </c>
      <c r="G414" s="0" t="n">
        <v>1762255</v>
      </c>
      <c r="H414" s="0" t="n">
        <v>46123</v>
      </c>
      <c r="I414" s="0" t="n">
        <v>15428</v>
      </c>
      <c r="J414" s="0" t="n">
        <v>23.2</v>
      </c>
      <c r="K414" s="0" t="n">
        <v>24</v>
      </c>
      <c r="L414" s="0" t="n">
        <v>744</v>
      </c>
      <c r="M414" s="0" t="s">
        <v>20</v>
      </c>
      <c r="N414" s="0" t="s">
        <v>102</v>
      </c>
    </row>
    <row r="415" customFormat="false" ht="15" hidden="false" customHeight="false" outlineLevel="0" collapsed="false">
      <c r="A415" s="0" t="s">
        <v>1071</v>
      </c>
      <c r="B415" s="0" t="s">
        <v>1072</v>
      </c>
      <c r="C415" s="0" t="s">
        <v>24</v>
      </c>
      <c r="D415" s="0" t="s">
        <v>89</v>
      </c>
      <c r="E415" s="0" t="s">
        <v>314</v>
      </c>
      <c r="F415" s="0" t="s">
        <v>115</v>
      </c>
      <c r="G415" s="0" t="n">
        <v>1551611</v>
      </c>
      <c r="H415" s="0" t="n">
        <v>37701</v>
      </c>
      <c r="I415" s="0" t="n">
        <v>7839</v>
      </c>
      <c r="J415" s="0" t="n">
        <v>46.8</v>
      </c>
      <c r="K415" s="0" t="n">
        <v>10</v>
      </c>
      <c r="L415" s="0" t="n">
        <v>662</v>
      </c>
      <c r="M415" s="0" t="s">
        <v>20</v>
      </c>
      <c r="N415" s="0" t="s">
        <v>122</v>
      </c>
    </row>
    <row r="416" customFormat="false" ht="15" hidden="false" customHeight="false" outlineLevel="0" collapsed="false">
      <c r="A416" s="0" t="s">
        <v>1073</v>
      </c>
      <c r="B416" s="0" t="s">
        <v>1074</v>
      </c>
      <c r="C416" s="0" t="s">
        <v>500</v>
      </c>
      <c r="D416" s="0" t="s">
        <v>59</v>
      </c>
      <c r="E416" s="0" t="s">
        <v>130</v>
      </c>
      <c r="F416" s="0" t="s">
        <v>756</v>
      </c>
      <c r="G416" s="0" t="n">
        <v>3383604</v>
      </c>
      <c r="H416" s="0" t="n">
        <v>127755</v>
      </c>
      <c r="I416" s="0" t="n">
        <v>35973</v>
      </c>
      <c r="J416" s="0" t="n">
        <v>14.6</v>
      </c>
      <c r="K416" s="0" t="n">
        <v>8</v>
      </c>
      <c r="L416" s="0" t="n">
        <v>250</v>
      </c>
      <c r="M416" s="0" t="s">
        <v>20</v>
      </c>
      <c r="N416" s="0" t="s">
        <v>55</v>
      </c>
    </row>
    <row r="417" customFormat="false" ht="15" hidden="false" customHeight="false" outlineLevel="0" collapsed="false">
      <c r="A417" s="0" t="s">
        <v>1075</v>
      </c>
      <c r="B417" s="0" t="s">
        <v>459</v>
      </c>
      <c r="C417" s="0" t="s">
        <v>812</v>
      </c>
      <c r="D417" s="0" t="s">
        <v>59</v>
      </c>
      <c r="E417" s="0" t="s">
        <v>48</v>
      </c>
      <c r="F417" s="0" t="s">
        <v>106</v>
      </c>
      <c r="G417" s="0" t="n">
        <v>2624556</v>
      </c>
      <c r="H417" s="0" t="n">
        <v>122938</v>
      </c>
      <c r="I417" s="0" t="n">
        <v>44689</v>
      </c>
      <c r="J417" s="0" t="n">
        <v>44.2</v>
      </c>
      <c r="K417" s="0" t="n">
        <v>24</v>
      </c>
      <c r="L417" s="0" t="n">
        <v>757</v>
      </c>
      <c r="M417" s="0" t="s">
        <v>20</v>
      </c>
      <c r="N417" s="0" t="s">
        <v>28</v>
      </c>
    </row>
    <row r="418" customFormat="false" ht="15" hidden="false" customHeight="false" outlineLevel="0" collapsed="false">
      <c r="A418" s="0" t="s">
        <v>1076</v>
      </c>
      <c r="B418" s="0" t="s">
        <v>1077</v>
      </c>
      <c r="C418" s="0" t="s">
        <v>298</v>
      </c>
      <c r="D418" s="0" t="s">
        <v>17</v>
      </c>
      <c r="E418" s="0" t="s">
        <v>292</v>
      </c>
      <c r="F418" s="0" t="s">
        <v>27</v>
      </c>
      <c r="G418" s="0" t="n">
        <v>1951790</v>
      </c>
      <c r="H418" s="0" t="n">
        <v>73568</v>
      </c>
      <c r="I418" s="0" t="n">
        <v>18970</v>
      </c>
      <c r="J418" s="0" t="n">
        <v>56.1</v>
      </c>
      <c r="K418" s="0" t="n">
        <v>10</v>
      </c>
      <c r="L418" s="0" t="n">
        <v>343</v>
      </c>
      <c r="M418" s="0" t="s">
        <v>20</v>
      </c>
      <c r="N418" s="0" t="s">
        <v>122</v>
      </c>
    </row>
    <row r="419" customFormat="false" ht="15" hidden="false" customHeight="false" outlineLevel="0" collapsed="false">
      <c r="A419" s="0" t="s">
        <v>1078</v>
      </c>
      <c r="B419" s="0" t="s">
        <v>1079</v>
      </c>
      <c r="C419" s="0" t="s">
        <v>421</v>
      </c>
      <c r="D419" s="0" t="s">
        <v>32</v>
      </c>
      <c r="E419" s="0" t="s">
        <v>61</v>
      </c>
      <c r="F419" s="0" t="s">
        <v>558</v>
      </c>
      <c r="G419" s="0" t="n">
        <v>2752394</v>
      </c>
      <c r="H419" s="0" t="n">
        <v>117070</v>
      </c>
      <c r="I419" s="0" t="n">
        <v>24945</v>
      </c>
      <c r="J419" s="0" t="n">
        <v>15.9</v>
      </c>
      <c r="K419" s="0" t="n">
        <v>15</v>
      </c>
      <c r="L419" s="0" t="n">
        <v>386</v>
      </c>
      <c r="M419" s="0" t="s">
        <v>35</v>
      </c>
      <c r="N419" s="0" t="s">
        <v>169</v>
      </c>
    </row>
    <row r="420" customFormat="false" ht="15" hidden="false" customHeight="false" outlineLevel="0" collapsed="false">
      <c r="A420" s="0" t="s">
        <v>1080</v>
      </c>
      <c r="B420" s="0" t="s">
        <v>980</v>
      </c>
      <c r="C420" s="0" t="s">
        <v>475</v>
      </c>
      <c r="D420" s="0" t="s">
        <v>17</v>
      </c>
      <c r="E420" s="0" t="s">
        <v>407</v>
      </c>
      <c r="F420" s="0" t="s">
        <v>238</v>
      </c>
      <c r="G420" s="0" t="n">
        <v>1813617</v>
      </c>
      <c r="H420" s="0" t="n">
        <v>47166</v>
      </c>
      <c r="I420" s="0" t="n">
        <v>16527</v>
      </c>
      <c r="J420" s="0" t="n">
        <v>45.7</v>
      </c>
      <c r="K420" s="0" t="n">
        <v>22</v>
      </c>
      <c r="L420" s="0" t="n">
        <v>735</v>
      </c>
      <c r="M420" s="0" t="s">
        <v>20</v>
      </c>
      <c r="N420" s="0" t="s">
        <v>140</v>
      </c>
    </row>
    <row r="421" customFormat="false" ht="15" hidden="false" customHeight="false" outlineLevel="0" collapsed="false">
      <c r="A421" s="0" t="s">
        <v>1081</v>
      </c>
      <c r="B421" s="0" t="s">
        <v>1082</v>
      </c>
      <c r="C421" s="0" t="s">
        <v>1083</v>
      </c>
      <c r="D421" s="0" t="s">
        <v>59</v>
      </c>
      <c r="E421" s="0" t="s">
        <v>679</v>
      </c>
      <c r="F421" s="0" t="s">
        <v>110</v>
      </c>
      <c r="G421" s="0" t="n">
        <v>2186474</v>
      </c>
      <c r="H421" s="0" t="n">
        <v>115496</v>
      </c>
      <c r="I421" s="0" t="n">
        <v>27820</v>
      </c>
      <c r="J421" s="0" t="n">
        <v>16.5</v>
      </c>
      <c r="K421" s="0" t="n">
        <v>8</v>
      </c>
      <c r="L421" s="0" t="n">
        <v>449</v>
      </c>
      <c r="M421" s="0" t="s">
        <v>54</v>
      </c>
      <c r="N421" s="0" t="s">
        <v>55</v>
      </c>
    </row>
    <row r="422" customFormat="false" ht="15" hidden="false" customHeight="false" outlineLevel="0" collapsed="false">
      <c r="A422" s="0" t="s">
        <v>1084</v>
      </c>
      <c r="B422" s="0" t="s">
        <v>1085</v>
      </c>
      <c r="C422" s="0" t="s">
        <v>356</v>
      </c>
      <c r="D422" s="0" t="s">
        <v>39</v>
      </c>
      <c r="E422" s="0" t="s">
        <v>48</v>
      </c>
      <c r="F422" s="0" t="s">
        <v>106</v>
      </c>
      <c r="G422" s="0" t="n">
        <v>1809180</v>
      </c>
      <c r="H422" s="0" t="n">
        <v>73308</v>
      </c>
      <c r="I422" s="0" t="n">
        <v>18098</v>
      </c>
      <c r="J422" s="0" t="n">
        <v>6</v>
      </c>
      <c r="K422" s="0" t="n">
        <v>13</v>
      </c>
      <c r="L422" s="0" t="n">
        <v>240</v>
      </c>
      <c r="M422" s="0" t="s">
        <v>20</v>
      </c>
      <c r="N422" s="0" t="s">
        <v>102</v>
      </c>
    </row>
    <row r="423" customFormat="false" ht="15" hidden="false" customHeight="false" outlineLevel="0" collapsed="false">
      <c r="A423" s="0" t="s">
        <v>1086</v>
      </c>
      <c r="B423" s="0" t="s">
        <v>1087</v>
      </c>
      <c r="C423" s="0" t="s">
        <v>256</v>
      </c>
      <c r="D423" s="0" t="s">
        <v>39</v>
      </c>
      <c r="E423" s="0" t="s">
        <v>347</v>
      </c>
      <c r="F423" s="0" t="s">
        <v>679</v>
      </c>
      <c r="G423" s="0" t="n">
        <v>1687532</v>
      </c>
      <c r="H423" s="0" t="n">
        <v>65114</v>
      </c>
      <c r="I423" s="0" t="n">
        <v>19512</v>
      </c>
      <c r="J423" s="0" t="n">
        <v>55.6</v>
      </c>
      <c r="K423" s="0" t="n">
        <v>19</v>
      </c>
      <c r="L423" s="0" t="n">
        <v>645</v>
      </c>
      <c r="M423" s="0" t="s">
        <v>54</v>
      </c>
      <c r="N423" s="0" t="s">
        <v>140</v>
      </c>
    </row>
    <row r="424" customFormat="false" ht="15" hidden="false" customHeight="false" outlineLevel="0" collapsed="false">
      <c r="A424" s="0" t="s">
        <v>1088</v>
      </c>
      <c r="B424" s="0" t="s">
        <v>1027</v>
      </c>
      <c r="C424" s="0" t="s">
        <v>276</v>
      </c>
      <c r="D424" s="0" t="s">
        <v>65</v>
      </c>
      <c r="E424" s="0" t="s">
        <v>115</v>
      </c>
      <c r="F424" s="0" t="s">
        <v>305</v>
      </c>
      <c r="G424" s="0" t="n">
        <v>2172240</v>
      </c>
      <c r="H424" s="0" t="n">
        <v>75851</v>
      </c>
      <c r="I424" s="0" t="n">
        <v>17532</v>
      </c>
      <c r="J424" s="0" t="n">
        <v>26.5</v>
      </c>
      <c r="K424" s="0" t="n">
        <v>14</v>
      </c>
      <c r="L424" s="0" t="n">
        <v>462</v>
      </c>
      <c r="M424" s="0" t="s">
        <v>20</v>
      </c>
      <c r="N424" s="0" t="s">
        <v>122</v>
      </c>
    </row>
    <row r="425" customFormat="false" ht="15" hidden="false" customHeight="false" outlineLevel="0" collapsed="false">
      <c r="A425" s="0" t="s">
        <v>1089</v>
      </c>
      <c r="B425" s="0" t="s">
        <v>1090</v>
      </c>
      <c r="C425" s="0" t="s">
        <v>309</v>
      </c>
      <c r="D425" s="0" t="s">
        <v>32</v>
      </c>
      <c r="E425" s="0" t="s">
        <v>145</v>
      </c>
      <c r="F425" s="0" t="s">
        <v>52</v>
      </c>
      <c r="G425" s="0" t="n">
        <v>3972640</v>
      </c>
      <c r="H425" s="0" t="n">
        <v>174949</v>
      </c>
      <c r="I425" s="0" t="n">
        <v>53725</v>
      </c>
      <c r="J425" s="0" t="n">
        <v>18.1</v>
      </c>
      <c r="K425" s="0" t="n">
        <v>22</v>
      </c>
      <c r="L425" s="0" t="n">
        <v>526</v>
      </c>
      <c r="M425" s="0" t="s">
        <v>35</v>
      </c>
      <c r="N425" s="0" t="s">
        <v>42</v>
      </c>
    </row>
    <row r="426" customFormat="false" ht="15" hidden="false" customHeight="false" outlineLevel="0" collapsed="false">
      <c r="A426" s="0" t="s">
        <v>1091</v>
      </c>
      <c r="B426" s="0" t="s">
        <v>1092</v>
      </c>
      <c r="C426" s="0" t="s">
        <v>686</v>
      </c>
      <c r="D426" s="0" t="s">
        <v>32</v>
      </c>
      <c r="E426" s="0" t="s">
        <v>959</v>
      </c>
      <c r="F426" s="0" t="s">
        <v>48</v>
      </c>
      <c r="G426" s="0" t="n">
        <v>6700890</v>
      </c>
      <c r="H426" s="0" t="n">
        <v>212905</v>
      </c>
      <c r="I426" s="0" t="n">
        <v>81502</v>
      </c>
      <c r="J426" s="0" t="n">
        <v>51.5</v>
      </c>
      <c r="K426" s="0" t="n">
        <v>17</v>
      </c>
      <c r="L426" s="0" t="n">
        <v>275</v>
      </c>
      <c r="M426" s="0" t="s">
        <v>35</v>
      </c>
      <c r="N426" s="0" t="s">
        <v>102</v>
      </c>
    </row>
    <row r="427" customFormat="false" ht="15" hidden="false" customHeight="false" outlineLevel="0" collapsed="false">
      <c r="A427" s="0" t="s">
        <v>1093</v>
      </c>
      <c r="B427" s="0" t="s">
        <v>1094</v>
      </c>
      <c r="C427" s="0" t="s">
        <v>714</v>
      </c>
      <c r="D427" s="0" t="s">
        <v>32</v>
      </c>
      <c r="E427" s="0" t="s">
        <v>472</v>
      </c>
      <c r="F427" s="0" t="s">
        <v>302</v>
      </c>
      <c r="G427" s="0" t="n">
        <v>3165176</v>
      </c>
      <c r="H427" s="0" t="n">
        <v>109601</v>
      </c>
      <c r="I427" s="0" t="n">
        <v>29358</v>
      </c>
      <c r="J427" s="0" t="n">
        <v>6.9</v>
      </c>
      <c r="K427" s="0" t="n">
        <v>18</v>
      </c>
      <c r="L427" s="0" t="n">
        <v>781</v>
      </c>
      <c r="M427" s="0" t="s">
        <v>20</v>
      </c>
      <c r="N427" s="0" t="s">
        <v>28</v>
      </c>
    </row>
    <row r="428" customFormat="false" ht="15" hidden="false" customHeight="false" outlineLevel="0" collapsed="false">
      <c r="A428" s="0" t="s">
        <v>1095</v>
      </c>
      <c r="B428" s="0" t="s">
        <v>1096</v>
      </c>
      <c r="C428" s="0" t="s">
        <v>523</v>
      </c>
      <c r="D428" s="0" t="s">
        <v>71</v>
      </c>
      <c r="E428" s="0" t="s">
        <v>80</v>
      </c>
      <c r="F428" s="0" t="s">
        <v>52</v>
      </c>
      <c r="G428" s="0" t="n">
        <v>1593433</v>
      </c>
      <c r="H428" s="0" t="n">
        <v>38182</v>
      </c>
      <c r="I428" s="0" t="n">
        <v>10287</v>
      </c>
      <c r="J428" s="0" t="n">
        <v>47.1</v>
      </c>
      <c r="K428" s="0" t="n">
        <v>24</v>
      </c>
      <c r="L428" s="0" t="n">
        <v>685</v>
      </c>
      <c r="M428" s="0" t="s">
        <v>54</v>
      </c>
      <c r="N428" s="0" t="s">
        <v>21</v>
      </c>
    </row>
    <row r="429" customFormat="false" ht="15" hidden="false" customHeight="false" outlineLevel="0" collapsed="false">
      <c r="A429" s="0" t="s">
        <v>1097</v>
      </c>
      <c r="B429" s="0" t="s">
        <v>632</v>
      </c>
      <c r="C429" s="0" t="s">
        <v>148</v>
      </c>
      <c r="D429" s="0" t="s">
        <v>25</v>
      </c>
      <c r="E429" s="0" t="s">
        <v>126</v>
      </c>
      <c r="F429" s="0" t="s">
        <v>756</v>
      </c>
      <c r="G429" s="0" t="n">
        <v>3631608</v>
      </c>
      <c r="H429" s="0" t="n">
        <v>115919</v>
      </c>
      <c r="I429" s="0" t="n">
        <v>34143</v>
      </c>
      <c r="J429" s="0" t="n">
        <v>41.6</v>
      </c>
      <c r="K429" s="0" t="n">
        <v>19</v>
      </c>
      <c r="L429" s="0" t="n">
        <v>741</v>
      </c>
      <c r="M429" s="0" t="s">
        <v>20</v>
      </c>
      <c r="N429" s="0" t="s">
        <v>122</v>
      </c>
    </row>
    <row r="430" customFormat="false" ht="15" hidden="false" customHeight="false" outlineLevel="0" collapsed="false">
      <c r="A430" s="0" t="s">
        <v>1098</v>
      </c>
      <c r="B430" s="0" t="s">
        <v>1072</v>
      </c>
      <c r="C430" s="0" t="s">
        <v>84</v>
      </c>
      <c r="D430" s="0" t="s">
        <v>89</v>
      </c>
      <c r="E430" s="0" t="s">
        <v>329</v>
      </c>
      <c r="F430" s="0" t="s">
        <v>139</v>
      </c>
      <c r="G430" s="0" t="n">
        <v>1889743</v>
      </c>
      <c r="H430" s="0" t="n">
        <v>37375</v>
      </c>
      <c r="I430" s="0" t="n">
        <v>11460</v>
      </c>
      <c r="J430" s="0" t="n">
        <v>49.3</v>
      </c>
      <c r="K430" s="0" t="n">
        <v>6</v>
      </c>
      <c r="L430" s="0" t="n">
        <v>609</v>
      </c>
      <c r="M430" s="0" t="s">
        <v>54</v>
      </c>
      <c r="N430" s="0" t="s">
        <v>96</v>
      </c>
    </row>
    <row r="431" customFormat="false" ht="15" hidden="false" customHeight="false" outlineLevel="0" collapsed="false">
      <c r="A431" s="0" t="s">
        <v>1099</v>
      </c>
      <c r="B431" s="0" t="s">
        <v>1100</v>
      </c>
      <c r="C431" s="0" t="s">
        <v>167</v>
      </c>
      <c r="D431" s="0" t="s">
        <v>39</v>
      </c>
      <c r="E431" s="0" t="s">
        <v>435</v>
      </c>
      <c r="F431" s="0" t="s">
        <v>229</v>
      </c>
      <c r="G431" s="0" t="n">
        <v>1866293</v>
      </c>
      <c r="H431" s="0" t="n">
        <v>78350</v>
      </c>
      <c r="I431" s="0" t="n">
        <v>23613</v>
      </c>
      <c r="J431" s="0" t="n">
        <v>40.5</v>
      </c>
      <c r="K431" s="0" t="n">
        <v>8</v>
      </c>
      <c r="L431" s="0" t="n">
        <v>559</v>
      </c>
      <c r="M431" s="0" t="s">
        <v>20</v>
      </c>
      <c r="N431" s="0" t="s">
        <v>169</v>
      </c>
    </row>
    <row r="432" customFormat="false" ht="15" hidden="false" customHeight="false" outlineLevel="0" collapsed="false">
      <c r="A432" s="0" t="s">
        <v>1101</v>
      </c>
      <c r="B432" s="0" t="s">
        <v>923</v>
      </c>
      <c r="C432" s="0" t="s">
        <v>51</v>
      </c>
      <c r="D432" s="0" t="s">
        <v>39</v>
      </c>
      <c r="E432" s="0" t="s">
        <v>353</v>
      </c>
      <c r="F432" s="0" t="s">
        <v>66</v>
      </c>
      <c r="G432" s="0" t="n">
        <v>2485080</v>
      </c>
      <c r="H432" s="0" t="n">
        <v>98145</v>
      </c>
      <c r="I432" s="0" t="n">
        <v>25143</v>
      </c>
      <c r="J432" s="0" t="n">
        <v>56.6</v>
      </c>
      <c r="K432" s="0" t="n">
        <v>22</v>
      </c>
      <c r="L432" s="0" t="n">
        <v>705</v>
      </c>
      <c r="M432" s="0" t="s">
        <v>35</v>
      </c>
      <c r="N432" s="0" t="s">
        <v>74</v>
      </c>
    </row>
    <row r="433" customFormat="false" ht="15" hidden="false" customHeight="false" outlineLevel="0" collapsed="false">
      <c r="A433" s="0" t="s">
        <v>1102</v>
      </c>
      <c r="B433" s="0" t="s">
        <v>1103</v>
      </c>
      <c r="C433" s="0" t="s">
        <v>815</v>
      </c>
      <c r="D433" s="0" t="s">
        <v>71</v>
      </c>
      <c r="E433" s="0" t="s">
        <v>52</v>
      </c>
      <c r="F433" s="0" t="s">
        <v>346</v>
      </c>
      <c r="G433" s="0" t="n">
        <v>1808917</v>
      </c>
      <c r="H433" s="0" t="n">
        <v>37410</v>
      </c>
      <c r="I433" s="0" t="n">
        <v>11099</v>
      </c>
      <c r="J433" s="0" t="n">
        <v>12.8</v>
      </c>
      <c r="K433" s="0" t="n">
        <v>14</v>
      </c>
      <c r="L433" s="0" t="n">
        <v>342</v>
      </c>
      <c r="M433" s="0" t="s">
        <v>35</v>
      </c>
      <c r="N433" s="0" t="s">
        <v>74</v>
      </c>
    </row>
    <row r="434" customFormat="false" ht="15" hidden="false" customHeight="false" outlineLevel="0" collapsed="false">
      <c r="A434" s="0" t="s">
        <v>1104</v>
      </c>
      <c r="B434" s="0" t="s">
        <v>1105</v>
      </c>
      <c r="C434" s="0" t="s">
        <v>1106</v>
      </c>
      <c r="D434" s="0" t="s">
        <v>144</v>
      </c>
      <c r="E434" s="0" t="s">
        <v>238</v>
      </c>
      <c r="F434" s="0" t="s">
        <v>115</v>
      </c>
      <c r="G434" s="0" t="n">
        <v>2022370</v>
      </c>
      <c r="H434" s="0" t="n">
        <v>50542</v>
      </c>
      <c r="I434" s="0" t="n">
        <v>17621</v>
      </c>
      <c r="J434" s="0" t="n">
        <v>48.6</v>
      </c>
      <c r="K434" s="0" t="n">
        <v>6</v>
      </c>
      <c r="L434" s="0" t="n">
        <v>357</v>
      </c>
      <c r="M434" s="0" t="s">
        <v>20</v>
      </c>
      <c r="N434" s="0" t="s">
        <v>140</v>
      </c>
    </row>
    <row r="435" customFormat="false" ht="15" hidden="false" customHeight="false" outlineLevel="0" collapsed="false">
      <c r="A435" s="0" t="s">
        <v>1107</v>
      </c>
      <c r="B435" s="0" t="s">
        <v>1108</v>
      </c>
      <c r="C435" s="0" t="s">
        <v>691</v>
      </c>
      <c r="D435" s="0" t="s">
        <v>109</v>
      </c>
      <c r="E435" s="0" t="s">
        <v>126</v>
      </c>
      <c r="F435" s="0" t="s">
        <v>213</v>
      </c>
      <c r="G435" s="0" t="n">
        <v>1579480</v>
      </c>
      <c r="H435" s="0" t="n">
        <v>43699</v>
      </c>
      <c r="I435" s="0" t="n">
        <v>9904</v>
      </c>
      <c r="J435" s="0" t="n">
        <v>14.8</v>
      </c>
      <c r="K435" s="0" t="n">
        <v>21</v>
      </c>
      <c r="L435" s="0" t="n">
        <v>158</v>
      </c>
      <c r="M435" s="0" t="s">
        <v>20</v>
      </c>
      <c r="N435" s="0" t="s">
        <v>55</v>
      </c>
    </row>
    <row r="436" customFormat="false" ht="15" hidden="false" customHeight="false" outlineLevel="0" collapsed="false">
      <c r="A436" s="0" t="s">
        <v>1109</v>
      </c>
      <c r="B436" s="0" t="s">
        <v>1000</v>
      </c>
      <c r="C436" s="0" t="s">
        <v>309</v>
      </c>
      <c r="D436" s="0" t="s">
        <v>78</v>
      </c>
      <c r="E436" s="0" t="s">
        <v>558</v>
      </c>
      <c r="F436" s="0" t="s">
        <v>80</v>
      </c>
      <c r="G436" s="0" t="n">
        <v>4362814</v>
      </c>
      <c r="H436" s="0" t="n">
        <v>157474</v>
      </c>
      <c r="I436" s="0" t="n">
        <v>61762</v>
      </c>
      <c r="J436" s="0" t="n">
        <v>56.5</v>
      </c>
      <c r="K436" s="0" t="n">
        <v>13</v>
      </c>
      <c r="L436" s="0" t="n">
        <v>183</v>
      </c>
      <c r="M436" s="0" t="s">
        <v>20</v>
      </c>
      <c r="N436" s="0" t="s">
        <v>102</v>
      </c>
    </row>
    <row r="437" customFormat="false" ht="15" hidden="false" customHeight="false" outlineLevel="0" collapsed="false">
      <c r="A437" s="0" t="s">
        <v>1110</v>
      </c>
      <c r="B437" s="0" t="s">
        <v>272</v>
      </c>
      <c r="C437" s="0" t="s">
        <v>806</v>
      </c>
      <c r="D437" s="0" t="s">
        <v>71</v>
      </c>
      <c r="E437" s="0" t="s">
        <v>292</v>
      </c>
      <c r="F437" s="0" t="s">
        <v>193</v>
      </c>
      <c r="G437" s="0" t="n">
        <v>1262957</v>
      </c>
      <c r="H437" s="0" t="n">
        <v>35395</v>
      </c>
      <c r="I437" s="0" t="n">
        <v>9368</v>
      </c>
      <c r="J437" s="0" t="n">
        <v>55.3</v>
      </c>
      <c r="K437" s="0" t="n">
        <v>10</v>
      </c>
      <c r="L437" s="0" t="n">
        <v>743</v>
      </c>
      <c r="M437" s="0" t="s">
        <v>54</v>
      </c>
      <c r="N437" s="0" t="s">
        <v>21</v>
      </c>
    </row>
    <row r="438" customFormat="false" ht="15" hidden="false" customHeight="false" outlineLevel="0" collapsed="false">
      <c r="A438" s="0" t="s">
        <v>1111</v>
      </c>
      <c r="B438" s="0" t="s">
        <v>1112</v>
      </c>
      <c r="C438" s="0" t="s">
        <v>840</v>
      </c>
      <c r="D438" s="0" t="s">
        <v>32</v>
      </c>
      <c r="E438" s="0" t="s">
        <v>257</v>
      </c>
      <c r="F438" s="0" t="s">
        <v>229</v>
      </c>
      <c r="G438" s="0" t="n">
        <v>4236982</v>
      </c>
      <c r="H438" s="0" t="n">
        <v>180808</v>
      </c>
      <c r="I438" s="0" t="n">
        <v>35910</v>
      </c>
      <c r="J438" s="0" t="n">
        <v>53.2</v>
      </c>
      <c r="K438" s="0" t="n">
        <v>20</v>
      </c>
      <c r="L438" s="0" t="n">
        <v>336</v>
      </c>
      <c r="M438" s="0" t="s">
        <v>54</v>
      </c>
      <c r="N438" s="0" t="s">
        <v>169</v>
      </c>
    </row>
    <row r="439" customFormat="false" ht="15" hidden="false" customHeight="false" outlineLevel="0" collapsed="false">
      <c r="A439" s="0" t="s">
        <v>1113</v>
      </c>
      <c r="B439" s="0" t="s">
        <v>1114</v>
      </c>
      <c r="C439" s="0" t="s">
        <v>84</v>
      </c>
      <c r="D439" s="0" t="s">
        <v>39</v>
      </c>
      <c r="E439" s="0" t="s">
        <v>213</v>
      </c>
      <c r="F439" s="0" t="s">
        <v>214</v>
      </c>
      <c r="G439" s="0" t="n">
        <v>2030472</v>
      </c>
      <c r="H439" s="0" t="n">
        <v>83279</v>
      </c>
      <c r="I439" s="0" t="n">
        <v>24718</v>
      </c>
      <c r="J439" s="0" t="n">
        <v>58.9</v>
      </c>
      <c r="K439" s="0" t="n">
        <v>10</v>
      </c>
      <c r="L439" s="0" t="n">
        <v>291</v>
      </c>
      <c r="M439" s="0" t="s">
        <v>20</v>
      </c>
      <c r="N439" s="0" t="s">
        <v>102</v>
      </c>
    </row>
    <row r="440" customFormat="false" ht="15" hidden="false" customHeight="false" outlineLevel="0" collapsed="false">
      <c r="A440" s="0" t="s">
        <v>1115</v>
      </c>
      <c r="B440" s="0" t="s">
        <v>1116</v>
      </c>
      <c r="C440" s="0" t="s">
        <v>686</v>
      </c>
      <c r="D440" s="0" t="s">
        <v>71</v>
      </c>
      <c r="E440" s="0" t="s">
        <v>1038</v>
      </c>
      <c r="F440" s="0" t="s">
        <v>177</v>
      </c>
      <c r="G440" s="0" t="n">
        <v>1772762</v>
      </c>
      <c r="H440" s="0" t="n">
        <v>40183</v>
      </c>
      <c r="I440" s="0" t="n">
        <v>12460</v>
      </c>
      <c r="J440" s="0" t="n">
        <v>7.2</v>
      </c>
      <c r="K440" s="0" t="n">
        <v>9</v>
      </c>
      <c r="L440" s="0" t="n">
        <v>453</v>
      </c>
      <c r="M440" s="0" t="s">
        <v>54</v>
      </c>
      <c r="N440" s="0" t="s">
        <v>102</v>
      </c>
    </row>
    <row r="441" customFormat="false" ht="15" hidden="false" customHeight="false" outlineLevel="0" collapsed="false">
      <c r="A441" s="0" t="s">
        <v>1117</v>
      </c>
      <c r="B441" s="0" t="s">
        <v>1118</v>
      </c>
      <c r="C441" s="0" t="s">
        <v>983</v>
      </c>
      <c r="D441" s="0" t="s">
        <v>71</v>
      </c>
      <c r="E441" s="0" t="s">
        <v>407</v>
      </c>
      <c r="F441" s="0" t="s">
        <v>389</v>
      </c>
      <c r="G441" s="0" t="n">
        <v>1451855</v>
      </c>
      <c r="H441" s="0" t="n">
        <v>42804</v>
      </c>
      <c r="I441" s="0" t="n">
        <v>11375</v>
      </c>
      <c r="J441" s="0" t="n">
        <v>36.4</v>
      </c>
      <c r="K441" s="0" t="n">
        <v>23</v>
      </c>
      <c r="L441" s="0" t="n">
        <v>496</v>
      </c>
      <c r="M441" s="0" t="s">
        <v>54</v>
      </c>
      <c r="N441" s="0" t="s">
        <v>28</v>
      </c>
    </row>
    <row r="442" customFormat="false" ht="15" hidden="false" customHeight="false" outlineLevel="0" collapsed="false">
      <c r="A442" s="0" t="s">
        <v>1119</v>
      </c>
      <c r="B442" s="0" t="s">
        <v>1120</v>
      </c>
      <c r="C442" s="0" t="s">
        <v>51</v>
      </c>
      <c r="D442" s="0" t="s">
        <v>65</v>
      </c>
      <c r="E442" s="0" t="s">
        <v>262</v>
      </c>
      <c r="F442" s="0" t="s">
        <v>34</v>
      </c>
      <c r="G442" s="0" t="n">
        <v>2383827</v>
      </c>
      <c r="H442" s="0" t="n">
        <v>73405</v>
      </c>
      <c r="I442" s="0" t="n">
        <v>24305</v>
      </c>
      <c r="J442" s="0" t="n">
        <v>38.9</v>
      </c>
      <c r="K442" s="0" t="n">
        <v>19</v>
      </c>
      <c r="L442" s="0" t="n">
        <v>491</v>
      </c>
      <c r="M442" s="0" t="s">
        <v>20</v>
      </c>
      <c r="N442" s="0" t="s">
        <v>67</v>
      </c>
    </row>
    <row r="443" customFormat="false" ht="15" hidden="false" customHeight="false" outlineLevel="0" collapsed="false">
      <c r="A443" s="0" t="s">
        <v>1121</v>
      </c>
      <c r="B443" s="0" t="s">
        <v>1122</v>
      </c>
      <c r="C443" s="0" t="s">
        <v>710</v>
      </c>
      <c r="D443" s="0" t="s">
        <v>144</v>
      </c>
      <c r="E443" s="0" t="s">
        <v>1038</v>
      </c>
      <c r="F443" s="0" t="s">
        <v>407</v>
      </c>
      <c r="G443" s="0" t="n">
        <v>1218308</v>
      </c>
      <c r="H443" s="0" t="n">
        <v>26687</v>
      </c>
      <c r="I443" s="0" t="n">
        <v>5547</v>
      </c>
      <c r="J443" s="0" t="n">
        <v>7.9</v>
      </c>
      <c r="K443" s="0" t="n">
        <v>11</v>
      </c>
      <c r="L443" s="0" t="n">
        <v>275</v>
      </c>
      <c r="M443" s="0" t="s">
        <v>20</v>
      </c>
      <c r="N443" s="0" t="s">
        <v>96</v>
      </c>
    </row>
    <row r="444" customFormat="false" ht="15" hidden="false" customHeight="false" outlineLevel="0" collapsed="false">
      <c r="A444" s="0" t="s">
        <v>1123</v>
      </c>
      <c r="B444" s="0" t="s">
        <v>1124</v>
      </c>
      <c r="C444" s="0" t="s">
        <v>105</v>
      </c>
      <c r="D444" s="0" t="s">
        <v>144</v>
      </c>
      <c r="E444" s="0" t="s">
        <v>19</v>
      </c>
      <c r="F444" s="0" t="s">
        <v>558</v>
      </c>
      <c r="G444" s="0" t="n">
        <v>2654887</v>
      </c>
      <c r="H444" s="0" t="n">
        <v>58158</v>
      </c>
      <c r="I444" s="0" t="n">
        <v>16374</v>
      </c>
      <c r="J444" s="0" t="n">
        <v>51.2</v>
      </c>
      <c r="K444" s="0" t="n">
        <v>6</v>
      </c>
      <c r="L444" s="0" t="n">
        <v>796</v>
      </c>
      <c r="M444" s="0" t="s">
        <v>35</v>
      </c>
      <c r="N444" s="0" t="s">
        <v>96</v>
      </c>
    </row>
    <row r="445" customFormat="false" ht="15" hidden="false" customHeight="false" outlineLevel="0" collapsed="false">
      <c r="A445" s="0" t="s">
        <v>1125</v>
      </c>
      <c r="B445" s="0" t="s">
        <v>1126</v>
      </c>
      <c r="C445" s="0" t="s">
        <v>800</v>
      </c>
      <c r="D445" s="0" t="s">
        <v>71</v>
      </c>
      <c r="E445" s="0" t="s">
        <v>120</v>
      </c>
      <c r="F445" s="0" t="s">
        <v>253</v>
      </c>
      <c r="G445" s="0" t="n">
        <v>1329459</v>
      </c>
      <c r="H445" s="0" t="n">
        <v>33714</v>
      </c>
      <c r="I445" s="0" t="n">
        <v>10095</v>
      </c>
      <c r="J445" s="0" t="n">
        <v>56.7</v>
      </c>
      <c r="K445" s="0" t="n">
        <v>17</v>
      </c>
      <c r="L445" s="0" t="n">
        <v>474</v>
      </c>
      <c r="M445" s="0" t="s">
        <v>35</v>
      </c>
      <c r="N445" s="0" t="s">
        <v>169</v>
      </c>
    </row>
    <row r="446" customFormat="false" ht="15" hidden="false" customHeight="false" outlineLevel="0" collapsed="false">
      <c r="A446" s="0" t="s">
        <v>1127</v>
      </c>
      <c r="B446" s="0" t="s">
        <v>951</v>
      </c>
      <c r="C446" s="0" t="s">
        <v>143</v>
      </c>
      <c r="D446" s="0" t="s">
        <v>71</v>
      </c>
      <c r="E446" s="0" t="s">
        <v>495</v>
      </c>
      <c r="F446" s="0" t="s">
        <v>252</v>
      </c>
      <c r="G446" s="0" t="n">
        <v>1731426</v>
      </c>
      <c r="H446" s="0" t="n">
        <v>39115</v>
      </c>
      <c r="I446" s="0" t="n">
        <v>12229</v>
      </c>
      <c r="J446" s="0" t="n">
        <v>4.4</v>
      </c>
      <c r="K446" s="0" t="n">
        <v>22</v>
      </c>
      <c r="L446" s="0" t="n">
        <v>271</v>
      </c>
      <c r="M446" s="0" t="s">
        <v>20</v>
      </c>
      <c r="N446" s="0" t="s">
        <v>67</v>
      </c>
    </row>
    <row r="447" customFormat="false" ht="15" hidden="false" customHeight="false" outlineLevel="0" collapsed="false">
      <c r="A447" s="0" t="s">
        <v>1128</v>
      </c>
      <c r="B447" s="0" t="s">
        <v>1129</v>
      </c>
      <c r="C447" s="0" t="s">
        <v>899</v>
      </c>
      <c r="D447" s="0" t="s">
        <v>144</v>
      </c>
      <c r="E447" s="0" t="s">
        <v>80</v>
      </c>
      <c r="F447" s="0" t="s">
        <v>209</v>
      </c>
      <c r="G447" s="0" t="n">
        <v>1503978</v>
      </c>
      <c r="H447" s="0" t="n">
        <v>40036</v>
      </c>
      <c r="I447" s="0" t="n">
        <v>9555</v>
      </c>
      <c r="J447" s="0" t="n">
        <v>49.3</v>
      </c>
      <c r="K447" s="0" t="n">
        <v>16</v>
      </c>
      <c r="L447" s="0" t="n">
        <v>386</v>
      </c>
      <c r="M447" s="0" t="s">
        <v>20</v>
      </c>
      <c r="N447" s="0" t="s">
        <v>21</v>
      </c>
    </row>
    <row r="448" customFormat="false" ht="15" hidden="false" customHeight="false" outlineLevel="0" collapsed="false">
      <c r="A448" s="0" t="s">
        <v>1130</v>
      </c>
      <c r="B448" s="0" t="s">
        <v>836</v>
      </c>
      <c r="C448" s="0" t="s">
        <v>806</v>
      </c>
      <c r="D448" s="0" t="s">
        <v>32</v>
      </c>
      <c r="E448" s="0" t="s">
        <v>33</v>
      </c>
      <c r="F448" s="0" t="s">
        <v>106</v>
      </c>
      <c r="G448" s="0" t="n">
        <v>6556937</v>
      </c>
      <c r="H448" s="0" t="n">
        <v>201258</v>
      </c>
      <c r="I448" s="0" t="n">
        <v>51308</v>
      </c>
      <c r="J448" s="0" t="n">
        <v>19.8</v>
      </c>
      <c r="K448" s="0" t="n">
        <v>13</v>
      </c>
      <c r="L448" s="0" t="n">
        <v>463</v>
      </c>
      <c r="M448" s="0" t="s">
        <v>20</v>
      </c>
      <c r="N448" s="0" t="s">
        <v>28</v>
      </c>
    </row>
    <row r="449" customFormat="false" ht="15" hidden="false" customHeight="false" outlineLevel="0" collapsed="false">
      <c r="A449" s="0" t="s">
        <v>1131</v>
      </c>
      <c r="B449" s="0" t="s">
        <v>319</v>
      </c>
      <c r="C449" s="0" t="s">
        <v>64</v>
      </c>
      <c r="D449" s="0" t="s">
        <v>65</v>
      </c>
      <c r="E449" s="0" t="s">
        <v>40</v>
      </c>
      <c r="F449" s="0" t="s">
        <v>379</v>
      </c>
      <c r="G449" s="0" t="n">
        <v>1424840</v>
      </c>
      <c r="H449" s="0" t="n">
        <v>60485</v>
      </c>
      <c r="I449" s="0" t="n">
        <v>15005</v>
      </c>
      <c r="J449" s="0" t="n">
        <v>31.6</v>
      </c>
      <c r="K449" s="0" t="n">
        <v>11</v>
      </c>
      <c r="L449" s="0" t="n">
        <v>473</v>
      </c>
      <c r="M449" s="0" t="s">
        <v>20</v>
      </c>
      <c r="N449" s="0" t="s">
        <v>169</v>
      </c>
    </row>
    <row r="450" customFormat="false" ht="15" hidden="false" customHeight="false" outlineLevel="0" collapsed="false">
      <c r="A450" s="0" t="s">
        <v>1132</v>
      </c>
      <c r="B450" s="0" t="s">
        <v>1100</v>
      </c>
      <c r="C450" s="0" t="s">
        <v>406</v>
      </c>
      <c r="D450" s="0" t="s">
        <v>39</v>
      </c>
      <c r="E450" s="0" t="s">
        <v>85</v>
      </c>
      <c r="F450" s="0" t="s">
        <v>60</v>
      </c>
      <c r="G450" s="0" t="n">
        <v>3607034</v>
      </c>
      <c r="H450" s="0" t="n">
        <v>144331</v>
      </c>
      <c r="I450" s="0" t="n">
        <v>34752</v>
      </c>
      <c r="J450" s="0" t="n">
        <v>16.4</v>
      </c>
      <c r="K450" s="0" t="n">
        <v>9</v>
      </c>
      <c r="L450" s="0" t="n">
        <v>338</v>
      </c>
      <c r="M450" s="0" t="s">
        <v>54</v>
      </c>
      <c r="N450" s="0" t="s">
        <v>140</v>
      </c>
    </row>
    <row r="451" customFormat="false" ht="15" hidden="false" customHeight="false" outlineLevel="0" collapsed="false">
      <c r="A451" s="0" t="s">
        <v>1133</v>
      </c>
      <c r="B451" s="0" t="s">
        <v>894</v>
      </c>
      <c r="C451" s="0" t="s">
        <v>133</v>
      </c>
      <c r="D451" s="0" t="s">
        <v>25</v>
      </c>
      <c r="E451" s="0" t="s">
        <v>110</v>
      </c>
      <c r="F451" s="0" t="s">
        <v>265</v>
      </c>
      <c r="G451" s="0" t="n">
        <v>3609966</v>
      </c>
      <c r="H451" s="0" t="n">
        <v>115588</v>
      </c>
      <c r="I451" s="0" t="n">
        <v>38050</v>
      </c>
      <c r="J451" s="0" t="n">
        <v>19.9</v>
      </c>
      <c r="K451" s="0" t="n">
        <v>13</v>
      </c>
      <c r="L451" s="0" t="n">
        <v>755</v>
      </c>
      <c r="M451" s="0" t="s">
        <v>54</v>
      </c>
      <c r="N451" s="0" t="s">
        <v>122</v>
      </c>
    </row>
    <row r="452" customFormat="false" ht="15" hidden="false" customHeight="false" outlineLevel="0" collapsed="false">
      <c r="A452" s="0" t="s">
        <v>1134</v>
      </c>
      <c r="B452" s="0" t="s">
        <v>1135</v>
      </c>
      <c r="C452" s="0" t="s">
        <v>114</v>
      </c>
      <c r="D452" s="0" t="s">
        <v>71</v>
      </c>
      <c r="E452" s="0" t="s">
        <v>280</v>
      </c>
      <c r="F452" s="0" t="s">
        <v>321</v>
      </c>
      <c r="G452" s="0" t="n">
        <v>1806379</v>
      </c>
      <c r="H452" s="0" t="n">
        <v>44614</v>
      </c>
      <c r="I452" s="0" t="n">
        <v>13438</v>
      </c>
      <c r="J452" s="0" t="n">
        <v>12.1</v>
      </c>
      <c r="K452" s="0" t="n">
        <v>17</v>
      </c>
      <c r="L452" s="0" t="n">
        <v>660</v>
      </c>
      <c r="M452" s="0" t="s">
        <v>20</v>
      </c>
      <c r="N452" s="0" t="s">
        <v>140</v>
      </c>
    </row>
    <row r="453" customFormat="false" ht="15" hidden="false" customHeight="false" outlineLevel="0" collapsed="false">
      <c r="A453" s="0" t="s">
        <v>1136</v>
      </c>
      <c r="B453" s="0" t="s">
        <v>349</v>
      </c>
      <c r="C453" s="0" t="s">
        <v>661</v>
      </c>
      <c r="D453" s="0" t="s">
        <v>46</v>
      </c>
      <c r="E453" s="0" t="s">
        <v>34</v>
      </c>
      <c r="F453" s="0" t="s">
        <v>418</v>
      </c>
      <c r="G453" s="0" t="n">
        <v>1494764</v>
      </c>
      <c r="H453" s="0" t="n">
        <v>38916</v>
      </c>
      <c r="I453" s="0" t="n">
        <v>11464</v>
      </c>
      <c r="J453" s="0" t="n">
        <v>57.1</v>
      </c>
      <c r="K453" s="0" t="n">
        <v>23</v>
      </c>
      <c r="L453" s="0" t="n">
        <v>588</v>
      </c>
      <c r="M453" s="0" t="s">
        <v>54</v>
      </c>
      <c r="N453" s="0" t="s">
        <v>122</v>
      </c>
    </row>
    <row r="454" customFormat="false" ht="15" hidden="false" customHeight="false" outlineLevel="0" collapsed="false">
      <c r="A454" s="0" t="s">
        <v>1137</v>
      </c>
      <c r="B454" s="0" t="s">
        <v>1138</v>
      </c>
      <c r="C454" s="0" t="s">
        <v>1063</v>
      </c>
      <c r="D454" s="0" t="s">
        <v>59</v>
      </c>
      <c r="E454" s="0" t="s">
        <v>451</v>
      </c>
      <c r="F454" s="0" t="s">
        <v>435</v>
      </c>
      <c r="G454" s="0" t="n">
        <v>2733585</v>
      </c>
      <c r="H454" s="0" t="n">
        <v>155117</v>
      </c>
      <c r="I454" s="0" t="n">
        <v>32560</v>
      </c>
      <c r="J454" s="0" t="n">
        <v>35.9</v>
      </c>
      <c r="K454" s="0" t="n">
        <v>21</v>
      </c>
      <c r="L454" s="0" t="n">
        <v>320</v>
      </c>
      <c r="M454" s="0" t="s">
        <v>20</v>
      </c>
      <c r="N454" s="0" t="s">
        <v>42</v>
      </c>
    </row>
    <row r="455" customFormat="false" ht="15" hidden="false" customHeight="false" outlineLevel="0" collapsed="false">
      <c r="A455" s="0" t="s">
        <v>1139</v>
      </c>
      <c r="B455" s="0" t="s">
        <v>1140</v>
      </c>
      <c r="C455" s="0" t="s">
        <v>392</v>
      </c>
      <c r="D455" s="0" t="s">
        <v>65</v>
      </c>
      <c r="E455" s="0" t="s">
        <v>321</v>
      </c>
      <c r="F455" s="0" t="s">
        <v>273</v>
      </c>
      <c r="G455" s="0" t="n">
        <v>1351224</v>
      </c>
      <c r="H455" s="0" t="n">
        <v>38744</v>
      </c>
      <c r="I455" s="0" t="n">
        <v>13982</v>
      </c>
      <c r="J455" s="0" t="n">
        <v>59.2</v>
      </c>
      <c r="K455" s="0" t="n">
        <v>25</v>
      </c>
      <c r="L455" s="0" t="n">
        <v>293</v>
      </c>
      <c r="M455" s="0" t="s">
        <v>35</v>
      </c>
      <c r="N455" s="0" t="s">
        <v>140</v>
      </c>
    </row>
    <row r="456" customFormat="false" ht="15" hidden="false" customHeight="false" outlineLevel="0" collapsed="false">
      <c r="A456" s="0" t="s">
        <v>1141</v>
      </c>
      <c r="B456" s="0" t="s">
        <v>695</v>
      </c>
      <c r="C456" s="0" t="s">
        <v>1142</v>
      </c>
      <c r="D456" s="0" t="s">
        <v>71</v>
      </c>
      <c r="E456" s="0" t="s">
        <v>139</v>
      </c>
      <c r="F456" s="0" t="s">
        <v>182</v>
      </c>
      <c r="G456" s="0" t="n">
        <v>1569957</v>
      </c>
      <c r="H456" s="0" t="n">
        <v>40227</v>
      </c>
      <c r="I456" s="0" t="n">
        <v>9568</v>
      </c>
      <c r="J456" s="0" t="n">
        <v>40.6</v>
      </c>
      <c r="K456" s="0" t="n">
        <v>22</v>
      </c>
      <c r="L456" s="0" t="n">
        <v>770</v>
      </c>
      <c r="M456" s="0" t="s">
        <v>54</v>
      </c>
      <c r="N456" s="0" t="s">
        <v>42</v>
      </c>
    </row>
    <row r="457" customFormat="false" ht="15" hidden="false" customHeight="false" outlineLevel="0" collapsed="false">
      <c r="A457" s="0" t="s">
        <v>1143</v>
      </c>
      <c r="B457" s="0" t="s">
        <v>1144</v>
      </c>
      <c r="C457" s="0" t="s">
        <v>578</v>
      </c>
      <c r="D457" s="0" t="s">
        <v>78</v>
      </c>
      <c r="E457" s="0" t="s">
        <v>244</v>
      </c>
      <c r="F457" s="0" t="s">
        <v>85</v>
      </c>
      <c r="G457" s="0" t="n">
        <v>4446285</v>
      </c>
      <c r="H457" s="0" t="n">
        <v>137000</v>
      </c>
      <c r="I457" s="0" t="n">
        <v>40505</v>
      </c>
      <c r="J457" s="0" t="n">
        <v>4.2</v>
      </c>
      <c r="K457" s="0" t="n">
        <v>17</v>
      </c>
      <c r="L457" s="0" t="n">
        <v>649</v>
      </c>
      <c r="M457" s="0" t="s">
        <v>20</v>
      </c>
      <c r="N457" s="0" t="s">
        <v>96</v>
      </c>
    </row>
    <row r="458" customFormat="false" ht="15" hidden="false" customHeight="false" outlineLevel="0" collapsed="false">
      <c r="A458" s="0" t="s">
        <v>1145</v>
      </c>
      <c r="B458" s="0" t="s">
        <v>1146</v>
      </c>
      <c r="C458" s="0" t="s">
        <v>947</v>
      </c>
      <c r="D458" s="0" t="s">
        <v>65</v>
      </c>
      <c r="E458" s="0" t="s">
        <v>153</v>
      </c>
      <c r="F458" s="0" t="s">
        <v>544</v>
      </c>
      <c r="G458" s="0" t="n">
        <v>1863966</v>
      </c>
      <c r="H458" s="0" t="n">
        <v>58463</v>
      </c>
      <c r="I458" s="0" t="n">
        <v>15536</v>
      </c>
      <c r="J458" s="0" t="n">
        <v>9.2</v>
      </c>
      <c r="K458" s="0" t="n">
        <v>21</v>
      </c>
      <c r="L458" s="0" t="n">
        <v>415</v>
      </c>
      <c r="M458" s="0" t="s">
        <v>35</v>
      </c>
      <c r="N458" s="0" t="s">
        <v>28</v>
      </c>
    </row>
    <row r="459" customFormat="false" ht="15" hidden="false" customHeight="false" outlineLevel="0" collapsed="false">
      <c r="A459" s="0" t="s">
        <v>1147</v>
      </c>
      <c r="B459" s="0" t="s">
        <v>961</v>
      </c>
      <c r="C459" s="0" t="s">
        <v>500</v>
      </c>
      <c r="D459" s="0" t="s">
        <v>46</v>
      </c>
      <c r="E459" s="0" t="s">
        <v>79</v>
      </c>
      <c r="F459" s="0" t="s">
        <v>209</v>
      </c>
      <c r="G459" s="0" t="n">
        <v>2047171</v>
      </c>
      <c r="H459" s="0" t="n">
        <v>65444</v>
      </c>
      <c r="I459" s="0" t="n">
        <v>21659</v>
      </c>
      <c r="J459" s="0" t="n">
        <v>45.5</v>
      </c>
      <c r="K459" s="0" t="n">
        <v>17</v>
      </c>
      <c r="L459" s="0" t="n">
        <v>737</v>
      </c>
      <c r="M459" s="0" t="s">
        <v>20</v>
      </c>
      <c r="N459" s="0" t="s">
        <v>67</v>
      </c>
    </row>
    <row r="460" customFormat="false" ht="15" hidden="false" customHeight="false" outlineLevel="0" collapsed="false">
      <c r="A460" s="0" t="s">
        <v>1148</v>
      </c>
      <c r="B460" s="0" t="s">
        <v>1149</v>
      </c>
      <c r="C460" s="0" t="s">
        <v>630</v>
      </c>
      <c r="D460" s="0" t="s">
        <v>144</v>
      </c>
      <c r="E460" s="0" t="s">
        <v>72</v>
      </c>
      <c r="F460" s="0" t="s">
        <v>73</v>
      </c>
      <c r="G460" s="0" t="n">
        <v>1583105</v>
      </c>
      <c r="H460" s="0" t="n">
        <v>39580</v>
      </c>
      <c r="I460" s="0" t="n">
        <v>9597</v>
      </c>
      <c r="J460" s="0" t="n">
        <v>11.6</v>
      </c>
      <c r="K460" s="0" t="n">
        <v>14</v>
      </c>
      <c r="L460" s="0" t="n">
        <v>279</v>
      </c>
      <c r="M460" s="0" t="s">
        <v>20</v>
      </c>
      <c r="N460" s="0" t="s">
        <v>67</v>
      </c>
    </row>
    <row r="461" customFormat="false" ht="15" hidden="false" customHeight="false" outlineLevel="0" collapsed="false">
      <c r="A461" s="0" t="s">
        <v>1150</v>
      </c>
      <c r="B461" s="0" t="s">
        <v>1151</v>
      </c>
      <c r="C461" s="0" t="s">
        <v>689</v>
      </c>
      <c r="D461" s="0" t="s">
        <v>59</v>
      </c>
      <c r="E461" s="0" t="s">
        <v>284</v>
      </c>
      <c r="F461" s="0" t="s">
        <v>177</v>
      </c>
      <c r="G461" s="0" t="n">
        <v>1729039</v>
      </c>
      <c r="H461" s="0" t="n">
        <v>66822</v>
      </c>
      <c r="I461" s="0" t="n">
        <v>15343</v>
      </c>
      <c r="J461" s="0" t="n">
        <v>3.6</v>
      </c>
      <c r="K461" s="0" t="n">
        <v>11</v>
      </c>
      <c r="L461" s="0" t="n">
        <v>355</v>
      </c>
      <c r="M461" s="0" t="s">
        <v>20</v>
      </c>
      <c r="N461" s="0" t="s">
        <v>28</v>
      </c>
    </row>
    <row r="462" customFormat="false" ht="15" hidden="false" customHeight="false" outlineLevel="0" collapsed="false">
      <c r="A462" s="0" t="s">
        <v>1152</v>
      </c>
      <c r="B462" s="0" t="s">
        <v>240</v>
      </c>
      <c r="C462" s="0" t="s">
        <v>417</v>
      </c>
      <c r="D462" s="0" t="s">
        <v>32</v>
      </c>
      <c r="E462" s="0" t="s">
        <v>372</v>
      </c>
      <c r="F462" s="0" t="s">
        <v>33</v>
      </c>
      <c r="G462" s="0" t="n">
        <v>4104826</v>
      </c>
      <c r="H462" s="0" t="n">
        <v>168040</v>
      </c>
      <c r="I462" s="0" t="n">
        <v>41581</v>
      </c>
      <c r="J462" s="0" t="n">
        <v>55.3</v>
      </c>
      <c r="K462" s="0" t="n">
        <v>13</v>
      </c>
      <c r="L462" s="0" t="n">
        <v>534</v>
      </c>
      <c r="M462" s="0" t="s">
        <v>35</v>
      </c>
      <c r="N462" s="0" t="s">
        <v>140</v>
      </c>
    </row>
    <row r="463" customFormat="false" ht="15" hidden="false" customHeight="false" outlineLevel="0" collapsed="false">
      <c r="A463" s="0" t="s">
        <v>1153</v>
      </c>
      <c r="B463" s="0" t="s">
        <v>1154</v>
      </c>
      <c r="C463" s="0" t="s">
        <v>317</v>
      </c>
      <c r="D463" s="0" t="s">
        <v>39</v>
      </c>
      <c r="E463" s="0" t="s">
        <v>314</v>
      </c>
      <c r="F463" s="0" t="s">
        <v>335</v>
      </c>
      <c r="G463" s="0" t="n">
        <v>2865946</v>
      </c>
      <c r="H463" s="0" t="n">
        <v>124427</v>
      </c>
      <c r="I463" s="0" t="n">
        <v>41596</v>
      </c>
      <c r="J463" s="0" t="n">
        <v>51</v>
      </c>
      <c r="K463" s="0" t="n">
        <v>14</v>
      </c>
      <c r="L463" s="0" t="n">
        <v>395</v>
      </c>
      <c r="M463" s="0" t="s">
        <v>20</v>
      </c>
      <c r="N463" s="0" t="s">
        <v>96</v>
      </c>
    </row>
    <row r="464" customFormat="false" ht="15" hidden="false" customHeight="false" outlineLevel="0" collapsed="false">
      <c r="A464" s="0" t="s">
        <v>1155</v>
      </c>
      <c r="B464" s="0" t="s">
        <v>620</v>
      </c>
      <c r="C464" s="0" t="s">
        <v>295</v>
      </c>
      <c r="D464" s="0" t="s">
        <v>89</v>
      </c>
      <c r="E464" s="0" t="s">
        <v>61</v>
      </c>
      <c r="F464" s="0" t="s">
        <v>101</v>
      </c>
      <c r="G464" s="0" t="n">
        <v>1845369</v>
      </c>
      <c r="H464" s="0" t="n">
        <v>61449</v>
      </c>
      <c r="I464" s="0" t="n">
        <v>14180</v>
      </c>
      <c r="J464" s="0" t="n">
        <v>28.9</v>
      </c>
      <c r="K464" s="0" t="n">
        <v>21</v>
      </c>
      <c r="L464" s="0" t="n">
        <v>627</v>
      </c>
      <c r="M464" s="0" t="s">
        <v>54</v>
      </c>
      <c r="N464" s="0" t="s">
        <v>122</v>
      </c>
    </row>
    <row r="465" customFormat="false" ht="15" hidden="false" customHeight="false" outlineLevel="0" collapsed="false">
      <c r="A465" s="0" t="s">
        <v>1156</v>
      </c>
      <c r="B465" s="0" t="s">
        <v>1157</v>
      </c>
      <c r="C465" s="0" t="s">
        <v>1158</v>
      </c>
      <c r="D465" s="0" t="s">
        <v>71</v>
      </c>
      <c r="E465" s="0" t="s">
        <v>788</v>
      </c>
      <c r="F465" s="0" t="s">
        <v>186</v>
      </c>
      <c r="G465" s="0" t="n">
        <v>1563089</v>
      </c>
      <c r="H465" s="0" t="n">
        <v>47684</v>
      </c>
      <c r="I465" s="0" t="n">
        <v>12151</v>
      </c>
      <c r="J465" s="0" t="n">
        <v>28.9</v>
      </c>
      <c r="K465" s="0" t="n">
        <v>20</v>
      </c>
      <c r="L465" s="0" t="n">
        <v>210</v>
      </c>
      <c r="M465" s="0" t="s">
        <v>35</v>
      </c>
      <c r="N465" s="0" t="s">
        <v>28</v>
      </c>
    </row>
    <row r="466" customFormat="false" ht="15" hidden="false" customHeight="false" outlineLevel="0" collapsed="false">
      <c r="A466" s="0" t="s">
        <v>1159</v>
      </c>
      <c r="B466" s="0" t="s">
        <v>1160</v>
      </c>
      <c r="C466" s="0" t="s">
        <v>137</v>
      </c>
      <c r="D466" s="0" t="s">
        <v>71</v>
      </c>
      <c r="E466" s="0" t="s">
        <v>80</v>
      </c>
      <c r="F466" s="0" t="s">
        <v>252</v>
      </c>
      <c r="G466" s="0" t="n">
        <v>1852998</v>
      </c>
      <c r="H466" s="0" t="n">
        <v>49606</v>
      </c>
      <c r="I466" s="0" t="n">
        <v>17974</v>
      </c>
      <c r="J466" s="0" t="n">
        <v>37.4</v>
      </c>
      <c r="K466" s="0" t="n">
        <v>16</v>
      </c>
      <c r="L466" s="0" t="n">
        <v>431</v>
      </c>
      <c r="M466" s="0" t="s">
        <v>54</v>
      </c>
      <c r="N466" s="0" t="s">
        <v>122</v>
      </c>
    </row>
    <row r="467" customFormat="false" ht="15" hidden="false" customHeight="false" outlineLevel="0" collapsed="false">
      <c r="A467" s="0" t="s">
        <v>1161</v>
      </c>
      <c r="B467" s="0" t="s">
        <v>1016</v>
      </c>
      <c r="C467" s="0" t="s">
        <v>427</v>
      </c>
      <c r="D467" s="0" t="s">
        <v>78</v>
      </c>
      <c r="E467" s="0" t="s">
        <v>94</v>
      </c>
      <c r="F467" s="0" t="s">
        <v>302</v>
      </c>
      <c r="G467" s="0" t="n">
        <v>2830414</v>
      </c>
      <c r="H467" s="0" t="n">
        <v>94878</v>
      </c>
      <c r="I467" s="0" t="n">
        <v>23359</v>
      </c>
      <c r="J467" s="0" t="n">
        <v>47.1</v>
      </c>
      <c r="K467" s="0" t="n">
        <v>24</v>
      </c>
      <c r="L467" s="0" t="n">
        <v>579</v>
      </c>
      <c r="M467" s="0" t="s">
        <v>20</v>
      </c>
      <c r="N467" s="0" t="s">
        <v>74</v>
      </c>
    </row>
    <row r="468" customFormat="false" ht="15" hidden="false" customHeight="false" outlineLevel="0" collapsed="false">
      <c r="A468" s="0" t="s">
        <v>1162</v>
      </c>
      <c r="B468" s="0" t="s">
        <v>1074</v>
      </c>
      <c r="C468" s="0" t="s">
        <v>549</v>
      </c>
      <c r="D468" s="0" t="s">
        <v>59</v>
      </c>
      <c r="E468" s="0" t="s">
        <v>422</v>
      </c>
      <c r="F468" s="0" t="s">
        <v>115</v>
      </c>
      <c r="G468" s="0" t="n">
        <v>2511090</v>
      </c>
      <c r="H468" s="0" t="n">
        <v>101563</v>
      </c>
      <c r="I468" s="0" t="n">
        <v>35615</v>
      </c>
      <c r="J468" s="0" t="n">
        <v>33.4</v>
      </c>
      <c r="K468" s="0" t="n">
        <v>21</v>
      </c>
      <c r="L468" s="0" t="n">
        <v>529</v>
      </c>
      <c r="M468" s="0" t="s">
        <v>20</v>
      </c>
      <c r="N468" s="0" t="s">
        <v>67</v>
      </c>
    </row>
    <row r="469" customFormat="false" ht="15" hidden="false" customHeight="false" outlineLevel="0" collapsed="false">
      <c r="A469" s="0" t="s">
        <v>1163</v>
      </c>
      <c r="B469" s="0" t="s">
        <v>716</v>
      </c>
      <c r="C469" s="0" t="s">
        <v>251</v>
      </c>
      <c r="D469" s="0" t="s">
        <v>71</v>
      </c>
      <c r="E469" s="0" t="s">
        <v>306</v>
      </c>
      <c r="F469" s="0" t="s">
        <v>539</v>
      </c>
      <c r="G469" s="0" t="n">
        <v>1507415</v>
      </c>
      <c r="H469" s="0" t="n">
        <v>46396</v>
      </c>
      <c r="I469" s="0" t="n">
        <v>11223</v>
      </c>
      <c r="J469" s="0" t="n">
        <v>51.1</v>
      </c>
      <c r="K469" s="0" t="n">
        <v>11</v>
      </c>
      <c r="L469" s="0" t="n">
        <v>497</v>
      </c>
      <c r="M469" s="0" t="s">
        <v>54</v>
      </c>
      <c r="N469" s="0" t="s">
        <v>140</v>
      </c>
    </row>
    <row r="470" customFormat="false" ht="15" hidden="false" customHeight="false" outlineLevel="0" collapsed="false">
      <c r="A470" s="0" t="s">
        <v>1164</v>
      </c>
      <c r="B470" s="0" t="s">
        <v>1165</v>
      </c>
      <c r="C470" s="0" t="s">
        <v>1166</v>
      </c>
      <c r="D470" s="0" t="s">
        <v>71</v>
      </c>
      <c r="E470" s="0" t="s">
        <v>422</v>
      </c>
      <c r="F470" s="0" t="s">
        <v>237</v>
      </c>
      <c r="G470" s="0" t="n">
        <v>1735114</v>
      </c>
      <c r="H470" s="0" t="n">
        <v>52453</v>
      </c>
      <c r="I470" s="0" t="n">
        <v>16031</v>
      </c>
      <c r="J470" s="0" t="n">
        <v>47.8</v>
      </c>
      <c r="K470" s="0" t="n">
        <v>17</v>
      </c>
      <c r="L470" s="0" t="n">
        <v>704</v>
      </c>
      <c r="M470" s="0" t="s">
        <v>20</v>
      </c>
      <c r="N470" s="0" t="s">
        <v>81</v>
      </c>
    </row>
    <row r="471" customFormat="false" ht="15" hidden="false" customHeight="false" outlineLevel="0" collapsed="false">
      <c r="A471" s="0" t="s">
        <v>1167</v>
      </c>
      <c r="B471" s="0" t="s">
        <v>534</v>
      </c>
      <c r="C471" s="0" t="s">
        <v>478</v>
      </c>
      <c r="D471" s="0" t="s">
        <v>144</v>
      </c>
      <c r="E471" s="0" t="s">
        <v>79</v>
      </c>
      <c r="F471" s="0" t="s">
        <v>788</v>
      </c>
      <c r="G471" s="0" t="n">
        <v>2355452</v>
      </c>
      <c r="H471" s="0" t="n">
        <v>58580</v>
      </c>
      <c r="I471" s="0" t="n">
        <v>16308</v>
      </c>
      <c r="J471" s="0" t="n">
        <v>14.8</v>
      </c>
      <c r="K471" s="0" t="n">
        <v>7</v>
      </c>
      <c r="L471" s="0" t="n">
        <v>723</v>
      </c>
      <c r="M471" s="0" t="s">
        <v>20</v>
      </c>
      <c r="N471" s="0" t="s">
        <v>74</v>
      </c>
    </row>
    <row r="472" customFormat="false" ht="15" hidden="false" customHeight="false" outlineLevel="0" collapsed="false">
      <c r="A472" s="0" t="s">
        <v>1168</v>
      </c>
      <c r="B472" s="0" t="s">
        <v>359</v>
      </c>
      <c r="C472" s="0" t="s">
        <v>720</v>
      </c>
      <c r="D472" s="0" t="s">
        <v>25</v>
      </c>
      <c r="E472" s="0" t="s">
        <v>120</v>
      </c>
      <c r="F472" s="0" t="s">
        <v>121</v>
      </c>
      <c r="G472" s="0" t="n">
        <v>4249893</v>
      </c>
      <c r="H472" s="0" t="n">
        <v>148931</v>
      </c>
      <c r="I472" s="0" t="n">
        <v>36053</v>
      </c>
      <c r="J472" s="0" t="n">
        <v>40</v>
      </c>
      <c r="K472" s="0" t="n">
        <v>17</v>
      </c>
      <c r="L472" s="0" t="n">
        <v>151</v>
      </c>
      <c r="M472" s="0" t="s">
        <v>35</v>
      </c>
      <c r="N472" s="0" t="s">
        <v>140</v>
      </c>
    </row>
    <row r="473" customFormat="false" ht="15" hidden="false" customHeight="false" outlineLevel="0" collapsed="false">
      <c r="A473" s="0" t="s">
        <v>1169</v>
      </c>
      <c r="B473" s="0" t="s">
        <v>1170</v>
      </c>
      <c r="C473" s="0" t="s">
        <v>460</v>
      </c>
      <c r="D473" s="0" t="s">
        <v>39</v>
      </c>
      <c r="E473" s="0" t="s">
        <v>310</v>
      </c>
      <c r="F473" s="0" t="s">
        <v>213</v>
      </c>
      <c r="G473" s="0" t="n">
        <v>1916955</v>
      </c>
      <c r="H473" s="0" t="n">
        <v>84553</v>
      </c>
      <c r="I473" s="0" t="n">
        <v>20484</v>
      </c>
      <c r="J473" s="0" t="n">
        <v>53.1</v>
      </c>
      <c r="K473" s="0" t="n">
        <v>12</v>
      </c>
      <c r="L473" s="0" t="n">
        <v>760</v>
      </c>
      <c r="M473" s="0" t="s">
        <v>54</v>
      </c>
      <c r="N473" s="0" t="s">
        <v>67</v>
      </c>
    </row>
    <row r="474" customFormat="false" ht="15" hidden="false" customHeight="false" outlineLevel="0" collapsed="false">
      <c r="A474" s="0" t="s">
        <v>1171</v>
      </c>
      <c r="B474" s="0" t="s">
        <v>695</v>
      </c>
      <c r="C474" s="0" t="s">
        <v>232</v>
      </c>
      <c r="D474" s="0" t="s">
        <v>71</v>
      </c>
      <c r="E474" s="0" t="s">
        <v>47</v>
      </c>
      <c r="F474" s="0" t="s">
        <v>339</v>
      </c>
      <c r="G474" s="0" t="n">
        <v>1368483</v>
      </c>
      <c r="H474" s="0" t="n">
        <v>31824</v>
      </c>
      <c r="I474" s="0" t="n">
        <v>6768</v>
      </c>
      <c r="J474" s="0" t="n">
        <v>27.1</v>
      </c>
      <c r="K474" s="0" t="n">
        <v>17</v>
      </c>
      <c r="L474" s="0" t="n">
        <v>177</v>
      </c>
      <c r="M474" s="0" t="s">
        <v>20</v>
      </c>
      <c r="N474" s="0" t="s">
        <v>67</v>
      </c>
    </row>
    <row r="475" customFormat="false" ht="15" hidden="false" customHeight="false" outlineLevel="0" collapsed="false">
      <c r="A475" s="0" t="s">
        <v>1172</v>
      </c>
      <c r="B475" s="0" t="s">
        <v>1173</v>
      </c>
      <c r="C475" s="0" t="s">
        <v>1174</v>
      </c>
      <c r="D475" s="0" t="s">
        <v>144</v>
      </c>
      <c r="E475" s="0" t="s">
        <v>34</v>
      </c>
      <c r="F475" s="0" t="s">
        <v>125</v>
      </c>
      <c r="G475" s="0" t="n">
        <v>2655712</v>
      </c>
      <c r="H475" s="0" t="n">
        <v>72239</v>
      </c>
      <c r="I475" s="0" t="n">
        <v>23286</v>
      </c>
      <c r="J475" s="0" t="n">
        <v>57</v>
      </c>
      <c r="K475" s="0" t="n">
        <v>25</v>
      </c>
      <c r="L475" s="0" t="n">
        <v>572</v>
      </c>
      <c r="M475" s="0" t="s">
        <v>35</v>
      </c>
      <c r="N475" s="0" t="s">
        <v>122</v>
      </c>
    </row>
    <row r="476" customFormat="false" ht="15" hidden="false" customHeight="false" outlineLevel="0" collapsed="false">
      <c r="A476" s="0" t="s">
        <v>1175</v>
      </c>
      <c r="B476" s="0" t="s">
        <v>294</v>
      </c>
      <c r="C476" s="0" t="s">
        <v>1176</v>
      </c>
      <c r="D476" s="0" t="s">
        <v>144</v>
      </c>
      <c r="E476" s="0" t="s">
        <v>139</v>
      </c>
      <c r="F476" s="0" t="s">
        <v>153</v>
      </c>
      <c r="G476" s="0" t="n">
        <v>1582658</v>
      </c>
      <c r="H476" s="0" t="n">
        <v>39339</v>
      </c>
      <c r="I476" s="0" t="n">
        <v>12204</v>
      </c>
      <c r="J476" s="0" t="n">
        <v>24.2</v>
      </c>
      <c r="K476" s="0" t="n">
        <v>7</v>
      </c>
      <c r="L476" s="0" t="n">
        <v>526</v>
      </c>
      <c r="M476" s="0" t="s">
        <v>54</v>
      </c>
      <c r="N476" s="0" t="s">
        <v>102</v>
      </c>
    </row>
    <row r="477" customFormat="false" ht="15" hidden="false" customHeight="false" outlineLevel="0" collapsed="false">
      <c r="A477" s="0" t="s">
        <v>1177</v>
      </c>
      <c r="B477" s="0" t="s">
        <v>1178</v>
      </c>
      <c r="C477" s="0" t="s">
        <v>392</v>
      </c>
      <c r="D477" s="0" t="s">
        <v>71</v>
      </c>
      <c r="E477" s="0" t="s">
        <v>770</v>
      </c>
      <c r="F477" s="0" t="s">
        <v>110</v>
      </c>
      <c r="G477" s="0" t="n">
        <v>1864798</v>
      </c>
      <c r="H477" s="0" t="n">
        <v>49855</v>
      </c>
      <c r="I477" s="0" t="n">
        <v>14989</v>
      </c>
      <c r="J477" s="0" t="n">
        <v>18.1</v>
      </c>
      <c r="K477" s="0" t="n">
        <v>22</v>
      </c>
      <c r="L477" s="0" t="n">
        <v>207</v>
      </c>
      <c r="M477" s="0" t="s">
        <v>54</v>
      </c>
      <c r="N477" s="0" t="s">
        <v>21</v>
      </c>
    </row>
    <row r="478" customFormat="false" ht="15" hidden="false" customHeight="false" outlineLevel="0" collapsed="false">
      <c r="A478" s="0" t="s">
        <v>1179</v>
      </c>
      <c r="B478" s="0" t="s">
        <v>1180</v>
      </c>
      <c r="C478" s="0" t="s">
        <v>16</v>
      </c>
      <c r="D478" s="0" t="s">
        <v>59</v>
      </c>
      <c r="E478" s="0" t="s">
        <v>110</v>
      </c>
      <c r="F478" s="0" t="s">
        <v>266</v>
      </c>
      <c r="G478" s="0" t="n">
        <v>2567402</v>
      </c>
      <c r="H478" s="0" t="n">
        <v>136401</v>
      </c>
      <c r="I478" s="0" t="n">
        <v>43400</v>
      </c>
      <c r="J478" s="0" t="n">
        <v>34.8</v>
      </c>
      <c r="K478" s="0" t="n">
        <v>20</v>
      </c>
      <c r="L478" s="0" t="n">
        <v>553</v>
      </c>
      <c r="M478" s="0" t="s">
        <v>54</v>
      </c>
      <c r="N478" s="0" t="s">
        <v>169</v>
      </c>
    </row>
    <row r="479" customFormat="false" ht="15" hidden="false" customHeight="false" outlineLevel="0" collapsed="false">
      <c r="A479" s="0" t="s">
        <v>1181</v>
      </c>
      <c r="B479" s="0" t="s">
        <v>1182</v>
      </c>
      <c r="C479" s="0" t="s">
        <v>1014</v>
      </c>
      <c r="D479" s="0" t="s">
        <v>17</v>
      </c>
      <c r="E479" s="0" t="s">
        <v>205</v>
      </c>
      <c r="F479" s="0" t="s">
        <v>110</v>
      </c>
      <c r="G479" s="0" t="n">
        <v>2916170</v>
      </c>
      <c r="H479" s="0" t="n">
        <v>84204</v>
      </c>
      <c r="I479" s="0" t="n">
        <v>21915</v>
      </c>
      <c r="J479" s="0" t="n">
        <v>39.3</v>
      </c>
      <c r="K479" s="0" t="n">
        <v>21</v>
      </c>
      <c r="L479" s="0" t="n">
        <v>340</v>
      </c>
      <c r="M479" s="0" t="s">
        <v>20</v>
      </c>
      <c r="N479" s="0" t="s">
        <v>122</v>
      </c>
    </row>
    <row r="480" customFormat="false" ht="15" hidden="false" customHeight="false" outlineLevel="0" collapsed="false">
      <c r="A480" s="0" t="s">
        <v>1183</v>
      </c>
      <c r="B480" s="0" t="s">
        <v>1065</v>
      </c>
      <c r="C480" s="0" t="s">
        <v>175</v>
      </c>
      <c r="D480" s="0" t="s">
        <v>89</v>
      </c>
      <c r="E480" s="0" t="s">
        <v>389</v>
      </c>
      <c r="F480" s="0" t="s">
        <v>305</v>
      </c>
      <c r="G480" s="0" t="n">
        <v>1889686</v>
      </c>
      <c r="H480" s="0" t="n">
        <v>45569</v>
      </c>
      <c r="I480" s="0" t="n">
        <v>15910</v>
      </c>
      <c r="J480" s="0" t="n">
        <v>46.4</v>
      </c>
      <c r="K480" s="0" t="n">
        <v>7</v>
      </c>
      <c r="L480" s="0" t="n">
        <v>427</v>
      </c>
      <c r="M480" s="0" t="s">
        <v>54</v>
      </c>
      <c r="N480" s="0" t="s">
        <v>96</v>
      </c>
    </row>
    <row r="481" customFormat="false" ht="15" hidden="false" customHeight="false" outlineLevel="0" collapsed="false">
      <c r="A481" s="0" t="s">
        <v>1184</v>
      </c>
      <c r="B481" s="0" t="s">
        <v>1185</v>
      </c>
      <c r="C481" s="0" t="s">
        <v>703</v>
      </c>
      <c r="D481" s="0" t="s">
        <v>78</v>
      </c>
      <c r="E481" s="0" t="s">
        <v>106</v>
      </c>
      <c r="F481" s="0" t="s">
        <v>26</v>
      </c>
      <c r="G481" s="0" t="n">
        <v>4299656</v>
      </c>
      <c r="H481" s="0" t="n">
        <v>187436</v>
      </c>
      <c r="I481" s="0" t="n">
        <v>39302</v>
      </c>
      <c r="J481" s="0" t="n">
        <v>51.4</v>
      </c>
      <c r="K481" s="0" t="n">
        <v>14</v>
      </c>
      <c r="L481" s="0" t="n">
        <v>300</v>
      </c>
      <c r="M481" s="0" t="s">
        <v>35</v>
      </c>
      <c r="N481" s="0" t="s">
        <v>21</v>
      </c>
    </row>
    <row r="482" customFormat="false" ht="15" hidden="false" customHeight="false" outlineLevel="0" collapsed="false">
      <c r="A482" s="0" t="s">
        <v>1186</v>
      </c>
      <c r="B482" s="0" t="s">
        <v>1187</v>
      </c>
      <c r="C482" s="0" t="s">
        <v>445</v>
      </c>
      <c r="D482" s="0" t="s">
        <v>32</v>
      </c>
      <c r="E482" s="0" t="s">
        <v>94</v>
      </c>
      <c r="F482" s="0" t="s">
        <v>425</v>
      </c>
      <c r="G482" s="0" t="n">
        <v>5989819</v>
      </c>
      <c r="H482" s="0" t="n">
        <v>249538</v>
      </c>
      <c r="I482" s="0" t="n">
        <v>71296</v>
      </c>
      <c r="J482" s="0" t="n">
        <v>46.7</v>
      </c>
      <c r="K482" s="0" t="n">
        <v>24</v>
      </c>
      <c r="L482" s="0" t="n">
        <v>485</v>
      </c>
      <c r="M482" s="0" t="s">
        <v>35</v>
      </c>
      <c r="N482" s="0" t="s">
        <v>42</v>
      </c>
    </row>
    <row r="483" customFormat="false" ht="15" hidden="false" customHeight="false" outlineLevel="0" collapsed="false">
      <c r="A483" s="0" t="s">
        <v>1188</v>
      </c>
      <c r="B483" s="0" t="s">
        <v>397</v>
      </c>
      <c r="C483" s="0" t="s">
        <v>247</v>
      </c>
      <c r="D483" s="0" t="s">
        <v>65</v>
      </c>
      <c r="E483" s="0" t="s">
        <v>314</v>
      </c>
      <c r="F483" s="0" t="s">
        <v>335</v>
      </c>
      <c r="G483" s="0" t="n">
        <v>1114474</v>
      </c>
      <c r="H483" s="0" t="n">
        <v>31866</v>
      </c>
      <c r="I483" s="0" t="n">
        <v>11010</v>
      </c>
      <c r="J483" s="0" t="n">
        <v>45</v>
      </c>
      <c r="K483" s="0" t="n">
        <v>14</v>
      </c>
      <c r="L483" s="0" t="n">
        <v>631</v>
      </c>
      <c r="M483" s="0" t="s">
        <v>54</v>
      </c>
      <c r="N483" s="0" t="s">
        <v>102</v>
      </c>
    </row>
    <row r="484" customFormat="false" ht="15" hidden="false" customHeight="false" outlineLevel="0" collapsed="false">
      <c r="A484" s="0" t="s">
        <v>1189</v>
      </c>
      <c r="B484" s="0" t="s">
        <v>464</v>
      </c>
      <c r="C484" s="0" t="s">
        <v>626</v>
      </c>
      <c r="D484" s="0" t="s">
        <v>65</v>
      </c>
      <c r="E484" s="0" t="s">
        <v>94</v>
      </c>
      <c r="F484" s="0" t="s">
        <v>95</v>
      </c>
      <c r="G484" s="0" t="n">
        <v>2205798</v>
      </c>
      <c r="H484" s="0" t="n">
        <v>81821</v>
      </c>
      <c r="I484" s="0" t="n">
        <v>20563</v>
      </c>
      <c r="J484" s="0" t="n">
        <v>20.5</v>
      </c>
      <c r="K484" s="0" t="n">
        <v>13</v>
      </c>
      <c r="L484" s="0" t="n">
        <v>325</v>
      </c>
      <c r="M484" s="0" t="s">
        <v>54</v>
      </c>
      <c r="N484" s="0" t="s">
        <v>81</v>
      </c>
    </row>
    <row r="485" customFormat="false" ht="15" hidden="false" customHeight="false" outlineLevel="0" collapsed="false">
      <c r="A485" s="0" t="s">
        <v>1190</v>
      </c>
      <c r="B485" s="0" t="s">
        <v>1191</v>
      </c>
      <c r="C485" s="0" t="s">
        <v>247</v>
      </c>
      <c r="D485" s="0" t="s">
        <v>109</v>
      </c>
      <c r="E485" s="0" t="s">
        <v>244</v>
      </c>
      <c r="F485" s="0" t="s">
        <v>280</v>
      </c>
      <c r="G485" s="0" t="n">
        <v>1997083</v>
      </c>
      <c r="H485" s="0" t="n">
        <v>63627</v>
      </c>
      <c r="I485" s="0" t="n">
        <v>18955</v>
      </c>
      <c r="J485" s="0" t="n">
        <v>3.9</v>
      </c>
      <c r="K485" s="0" t="n">
        <v>22</v>
      </c>
      <c r="L485" s="0" t="n">
        <v>591</v>
      </c>
      <c r="M485" s="0" t="s">
        <v>54</v>
      </c>
      <c r="N485" s="0" t="s">
        <v>140</v>
      </c>
    </row>
    <row r="486" customFormat="false" ht="15" hidden="false" customHeight="false" outlineLevel="0" collapsed="false">
      <c r="A486" s="0" t="s">
        <v>1192</v>
      </c>
      <c r="B486" s="0" t="s">
        <v>722</v>
      </c>
      <c r="C486" s="0" t="s">
        <v>1053</v>
      </c>
      <c r="D486" s="0" t="s">
        <v>59</v>
      </c>
      <c r="E486" s="0" t="s">
        <v>266</v>
      </c>
      <c r="F486" s="0" t="s">
        <v>302</v>
      </c>
      <c r="G486" s="0" t="n">
        <v>3397630</v>
      </c>
      <c r="H486" s="0" t="n">
        <v>192933</v>
      </c>
      <c r="I486" s="0" t="n">
        <v>39466</v>
      </c>
      <c r="J486" s="0" t="n">
        <v>50.6</v>
      </c>
      <c r="K486" s="0" t="n">
        <v>10</v>
      </c>
      <c r="L486" s="0" t="n">
        <v>800</v>
      </c>
      <c r="M486" s="0" t="s">
        <v>35</v>
      </c>
      <c r="N486" s="0" t="s">
        <v>140</v>
      </c>
    </row>
    <row r="487" customFormat="false" ht="15" hidden="false" customHeight="false" outlineLevel="0" collapsed="false">
      <c r="A487" s="0" t="s">
        <v>1193</v>
      </c>
      <c r="B487" s="0" t="s">
        <v>548</v>
      </c>
      <c r="C487" s="0" t="s">
        <v>167</v>
      </c>
      <c r="D487" s="0" t="s">
        <v>71</v>
      </c>
      <c r="E487" s="0" t="s">
        <v>33</v>
      </c>
      <c r="F487" s="0" t="s">
        <v>125</v>
      </c>
      <c r="G487" s="0" t="n">
        <v>1116173</v>
      </c>
      <c r="H487" s="0" t="n">
        <v>25526</v>
      </c>
      <c r="I487" s="0" t="n">
        <v>9389</v>
      </c>
      <c r="J487" s="0" t="n">
        <v>19</v>
      </c>
      <c r="K487" s="0" t="n">
        <v>8</v>
      </c>
      <c r="L487" s="0" t="n">
        <v>424</v>
      </c>
      <c r="M487" s="0" t="s">
        <v>35</v>
      </c>
      <c r="N487" s="0" t="s">
        <v>169</v>
      </c>
    </row>
    <row r="488" customFormat="false" ht="15" hidden="false" customHeight="false" outlineLevel="0" collapsed="false">
      <c r="A488" s="0" t="s">
        <v>1194</v>
      </c>
      <c r="B488" s="0" t="s">
        <v>1195</v>
      </c>
      <c r="C488" s="0" t="s">
        <v>597</v>
      </c>
      <c r="D488" s="0" t="s">
        <v>89</v>
      </c>
      <c r="E488" s="0" t="s">
        <v>19</v>
      </c>
      <c r="F488" s="0" t="s">
        <v>299</v>
      </c>
      <c r="G488" s="0" t="n">
        <v>978561</v>
      </c>
      <c r="H488" s="0" t="n">
        <v>24681</v>
      </c>
      <c r="I488" s="0" t="n">
        <v>7973</v>
      </c>
      <c r="J488" s="0" t="n">
        <v>22.4</v>
      </c>
      <c r="K488" s="0" t="n">
        <v>20</v>
      </c>
      <c r="L488" s="0" t="n">
        <v>652</v>
      </c>
      <c r="M488" s="0" t="s">
        <v>20</v>
      </c>
      <c r="N488" s="0" t="s">
        <v>42</v>
      </c>
    </row>
    <row r="489" customFormat="false" ht="15" hidden="false" customHeight="false" outlineLevel="0" collapsed="false">
      <c r="A489" s="0" t="s">
        <v>1196</v>
      </c>
      <c r="B489" s="0" t="s">
        <v>1197</v>
      </c>
      <c r="C489" s="0" t="s">
        <v>217</v>
      </c>
      <c r="D489" s="0" t="s">
        <v>89</v>
      </c>
      <c r="E489" s="0" t="s">
        <v>262</v>
      </c>
      <c r="F489" s="0" t="s">
        <v>310</v>
      </c>
      <c r="G489" s="0" t="n">
        <v>1732282</v>
      </c>
      <c r="H489" s="0" t="n">
        <v>37925</v>
      </c>
      <c r="I489" s="0" t="n">
        <v>11581</v>
      </c>
      <c r="J489" s="0" t="n">
        <v>58.5</v>
      </c>
      <c r="K489" s="0" t="n">
        <v>8</v>
      </c>
      <c r="L489" s="0" t="n">
        <v>408</v>
      </c>
      <c r="M489" s="0" t="s">
        <v>20</v>
      </c>
      <c r="N489" s="0" t="s">
        <v>74</v>
      </c>
    </row>
    <row r="490" customFormat="false" ht="15" hidden="false" customHeight="false" outlineLevel="0" collapsed="false">
      <c r="A490" s="0" t="s">
        <v>1198</v>
      </c>
      <c r="B490" s="0" t="s">
        <v>474</v>
      </c>
      <c r="C490" s="0" t="s">
        <v>717</v>
      </c>
      <c r="D490" s="0" t="s">
        <v>25</v>
      </c>
      <c r="E490" s="0" t="s">
        <v>244</v>
      </c>
      <c r="F490" s="0" t="s">
        <v>85</v>
      </c>
      <c r="G490" s="0" t="n">
        <v>4808763</v>
      </c>
      <c r="H490" s="0" t="n">
        <v>131468</v>
      </c>
      <c r="I490" s="0" t="n">
        <v>50147</v>
      </c>
      <c r="J490" s="0" t="n">
        <v>5.7</v>
      </c>
      <c r="K490" s="0" t="n">
        <v>19</v>
      </c>
      <c r="L490" s="0" t="n">
        <v>585</v>
      </c>
      <c r="M490" s="0" t="s">
        <v>20</v>
      </c>
      <c r="N490" s="0" t="s">
        <v>122</v>
      </c>
    </row>
    <row r="491" customFormat="false" ht="15" hidden="false" customHeight="false" outlineLevel="0" collapsed="false">
      <c r="A491" s="0" t="s">
        <v>1199</v>
      </c>
      <c r="B491" s="0" t="s">
        <v>1200</v>
      </c>
      <c r="C491" s="0" t="s">
        <v>505</v>
      </c>
      <c r="D491" s="0" t="s">
        <v>109</v>
      </c>
      <c r="E491" s="0" t="s">
        <v>176</v>
      </c>
      <c r="F491" s="0" t="s">
        <v>368</v>
      </c>
      <c r="G491" s="0" t="n">
        <v>1102508</v>
      </c>
      <c r="H491" s="0" t="n">
        <v>40387</v>
      </c>
      <c r="I491" s="0" t="n">
        <v>13029</v>
      </c>
      <c r="J491" s="0" t="n">
        <v>32.3</v>
      </c>
      <c r="K491" s="0" t="n">
        <v>24</v>
      </c>
      <c r="L491" s="0" t="n">
        <v>235</v>
      </c>
      <c r="M491" s="0" t="s">
        <v>20</v>
      </c>
      <c r="N491" s="0" t="s">
        <v>140</v>
      </c>
    </row>
    <row r="492" customFormat="false" ht="15" hidden="false" customHeight="false" outlineLevel="0" collapsed="false">
      <c r="A492" s="0" t="s">
        <v>1201</v>
      </c>
      <c r="B492" s="0" t="s">
        <v>1202</v>
      </c>
      <c r="C492" s="0" t="s">
        <v>196</v>
      </c>
      <c r="D492" s="0" t="s">
        <v>59</v>
      </c>
      <c r="E492" s="0" t="s">
        <v>562</v>
      </c>
      <c r="F492" s="0" t="s">
        <v>422</v>
      </c>
      <c r="G492" s="0" t="n">
        <v>3846932</v>
      </c>
      <c r="H492" s="0" t="n">
        <v>165989</v>
      </c>
      <c r="I492" s="0" t="n">
        <v>44122</v>
      </c>
      <c r="J492" s="0" t="n">
        <v>28.2</v>
      </c>
      <c r="K492" s="0" t="n">
        <v>20</v>
      </c>
      <c r="L492" s="0" t="n">
        <v>445</v>
      </c>
      <c r="M492" s="0" t="s">
        <v>54</v>
      </c>
      <c r="N492" s="0" t="s">
        <v>55</v>
      </c>
    </row>
    <row r="493" customFormat="false" ht="15" hidden="false" customHeight="false" outlineLevel="0" collapsed="false">
      <c r="A493" s="0" t="s">
        <v>1203</v>
      </c>
      <c r="B493" s="0" t="s">
        <v>522</v>
      </c>
      <c r="C493" s="0" t="s">
        <v>401</v>
      </c>
      <c r="D493" s="0" t="s">
        <v>32</v>
      </c>
      <c r="E493" s="0" t="s">
        <v>53</v>
      </c>
      <c r="F493" s="0" t="s">
        <v>241</v>
      </c>
      <c r="G493" s="0" t="n">
        <v>5167752</v>
      </c>
      <c r="H493" s="0" t="n">
        <v>162206</v>
      </c>
      <c r="I493" s="0" t="n">
        <v>59032</v>
      </c>
      <c r="J493" s="0" t="n">
        <v>17.8</v>
      </c>
      <c r="K493" s="0" t="n">
        <v>25</v>
      </c>
      <c r="L493" s="0" t="n">
        <v>725</v>
      </c>
      <c r="M493" s="0" t="s">
        <v>35</v>
      </c>
      <c r="N493" s="0" t="s">
        <v>21</v>
      </c>
    </row>
    <row r="494" customFormat="false" ht="15" hidden="false" customHeight="false" outlineLevel="0" collapsed="false">
      <c r="A494" s="0" t="s">
        <v>1204</v>
      </c>
      <c r="B494" s="0" t="s">
        <v>1205</v>
      </c>
      <c r="C494" s="0" t="s">
        <v>1158</v>
      </c>
      <c r="D494" s="0" t="s">
        <v>71</v>
      </c>
      <c r="E494" s="0" t="s">
        <v>418</v>
      </c>
      <c r="F494" s="0" t="s">
        <v>213</v>
      </c>
      <c r="G494" s="0" t="n">
        <v>959307</v>
      </c>
      <c r="H494" s="0" t="n">
        <v>31235</v>
      </c>
      <c r="I494" s="0" t="n">
        <v>7028</v>
      </c>
      <c r="J494" s="0" t="n">
        <v>27.7</v>
      </c>
      <c r="K494" s="0" t="n">
        <v>7</v>
      </c>
      <c r="L494" s="0" t="n">
        <v>493</v>
      </c>
      <c r="M494" s="0" t="s">
        <v>20</v>
      </c>
      <c r="N494" s="0" t="s">
        <v>67</v>
      </c>
    </row>
    <row r="495" customFormat="false" ht="15" hidden="false" customHeight="false" outlineLevel="0" collapsed="false">
      <c r="A495" s="0" t="s">
        <v>1206</v>
      </c>
      <c r="B495" s="0" t="s">
        <v>1033</v>
      </c>
      <c r="C495" s="0" t="s">
        <v>1207</v>
      </c>
      <c r="D495" s="0" t="s">
        <v>59</v>
      </c>
      <c r="E495" s="0" t="s">
        <v>289</v>
      </c>
      <c r="F495" s="0" t="s">
        <v>238</v>
      </c>
      <c r="G495" s="0" t="n">
        <v>2802140</v>
      </c>
      <c r="H495" s="0" t="n">
        <v>140659</v>
      </c>
      <c r="I495" s="0" t="n">
        <v>33184</v>
      </c>
      <c r="J495" s="0" t="n">
        <v>59</v>
      </c>
      <c r="K495" s="0" t="n">
        <v>5</v>
      </c>
      <c r="L495" s="0" t="n">
        <v>769</v>
      </c>
      <c r="M495" s="0" t="s">
        <v>54</v>
      </c>
      <c r="N495" s="0" t="s">
        <v>169</v>
      </c>
    </row>
    <row r="496" customFormat="false" ht="15" hidden="false" customHeight="false" outlineLevel="0" collapsed="false">
      <c r="A496" s="0" t="s">
        <v>1208</v>
      </c>
      <c r="B496" s="0" t="s">
        <v>620</v>
      </c>
      <c r="C496" s="0" t="s">
        <v>800</v>
      </c>
      <c r="D496" s="0" t="s">
        <v>89</v>
      </c>
      <c r="E496" s="0" t="s">
        <v>213</v>
      </c>
      <c r="F496" s="0" t="s">
        <v>756</v>
      </c>
      <c r="G496" s="0" t="n">
        <v>1147010</v>
      </c>
      <c r="H496" s="0" t="n">
        <v>31547</v>
      </c>
      <c r="I496" s="0" t="n">
        <v>11516</v>
      </c>
      <c r="J496" s="0" t="n">
        <v>40.5</v>
      </c>
      <c r="K496" s="0" t="n">
        <v>21</v>
      </c>
      <c r="L496" s="0" t="n">
        <v>210</v>
      </c>
      <c r="M496" s="0" t="s">
        <v>54</v>
      </c>
      <c r="N496" s="0" t="s">
        <v>55</v>
      </c>
    </row>
    <row r="497" customFormat="false" ht="15" hidden="false" customHeight="false" outlineLevel="0" collapsed="false">
      <c r="A497" s="0" t="s">
        <v>1209</v>
      </c>
      <c r="B497" s="0" t="s">
        <v>1210</v>
      </c>
      <c r="C497" s="0" t="s">
        <v>505</v>
      </c>
      <c r="D497" s="0" t="s">
        <v>78</v>
      </c>
      <c r="E497" s="0" t="s">
        <v>48</v>
      </c>
      <c r="F497" s="0" t="s">
        <v>262</v>
      </c>
      <c r="G497" s="0" t="n">
        <v>4986598</v>
      </c>
      <c r="H497" s="0" t="n">
        <v>204409</v>
      </c>
      <c r="I497" s="0" t="n">
        <v>69385</v>
      </c>
      <c r="J497" s="0" t="n">
        <v>8.9</v>
      </c>
      <c r="K497" s="0" t="n">
        <v>21</v>
      </c>
      <c r="L497" s="0" t="n">
        <v>159</v>
      </c>
      <c r="M497" s="0" t="s">
        <v>20</v>
      </c>
      <c r="N497" s="0" t="s">
        <v>55</v>
      </c>
    </row>
    <row r="498" customFormat="false" ht="15" hidden="false" customHeight="false" outlineLevel="0" collapsed="false">
      <c r="A498" s="0" t="s">
        <v>1211</v>
      </c>
      <c r="B498" s="0" t="s">
        <v>964</v>
      </c>
      <c r="C498" s="0" t="s">
        <v>867</v>
      </c>
      <c r="D498" s="0" t="s">
        <v>25</v>
      </c>
      <c r="E498" s="0" t="s">
        <v>273</v>
      </c>
      <c r="F498" s="0" t="s">
        <v>19</v>
      </c>
      <c r="G498" s="0" t="n">
        <v>3270115</v>
      </c>
      <c r="H498" s="0" t="n">
        <v>93768</v>
      </c>
      <c r="I498" s="0" t="n">
        <v>35407</v>
      </c>
      <c r="J498" s="0" t="n">
        <v>24.6</v>
      </c>
      <c r="K498" s="0" t="n">
        <v>12</v>
      </c>
      <c r="L498" s="0" t="n">
        <v>475</v>
      </c>
      <c r="M498" s="0" t="s">
        <v>20</v>
      </c>
      <c r="N498" s="0" t="s">
        <v>140</v>
      </c>
    </row>
    <row r="499" customFormat="false" ht="15" hidden="false" customHeight="false" outlineLevel="0" collapsed="false">
      <c r="A499" s="0" t="s">
        <v>1212</v>
      </c>
      <c r="B499" s="0" t="s">
        <v>1213</v>
      </c>
      <c r="C499" s="0" t="s">
        <v>815</v>
      </c>
      <c r="D499" s="0" t="s">
        <v>32</v>
      </c>
      <c r="E499" s="0" t="s">
        <v>539</v>
      </c>
      <c r="F499" s="0" t="s">
        <v>163</v>
      </c>
      <c r="G499" s="0" t="n">
        <v>3304079</v>
      </c>
      <c r="H499" s="0" t="n">
        <v>121324</v>
      </c>
      <c r="I499" s="0" t="n">
        <v>33023</v>
      </c>
      <c r="J499" s="0" t="n">
        <v>40.9</v>
      </c>
      <c r="K499" s="0" t="n">
        <v>8</v>
      </c>
      <c r="L499" s="0" t="n">
        <v>555</v>
      </c>
      <c r="M499" s="0" t="s">
        <v>54</v>
      </c>
      <c r="N499" s="0" t="s">
        <v>28</v>
      </c>
    </row>
    <row r="500" customFormat="false" ht="15" hidden="false" customHeight="false" outlineLevel="0" collapsed="false">
      <c r="A500" s="0" t="s">
        <v>1214</v>
      </c>
      <c r="B500" s="0" t="s">
        <v>432</v>
      </c>
      <c r="C500" s="0" t="s">
        <v>532</v>
      </c>
      <c r="D500" s="0" t="s">
        <v>17</v>
      </c>
      <c r="E500" s="0" t="s">
        <v>770</v>
      </c>
      <c r="F500" s="0" t="s">
        <v>110</v>
      </c>
      <c r="G500" s="0" t="n">
        <v>2222257</v>
      </c>
      <c r="H500" s="0" t="n">
        <v>77525</v>
      </c>
      <c r="I500" s="0" t="n">
        <v>25839</v>
      </c>
      <c r="J500" s="0" t="n">
        <v>3.9</v>
      </c>
      <c r="K500" s="0" t="n">
        <v>22</v>
      </c>
      <c r="L500" s="0" t="n">
        <v>156</v>
      </c>
      <c r="M500" s="0" t="s">
        <v>20</v>
      </c>
      <c r="N500" s="0" t="s">
        <v>74</v>
      </c>
    </row>
    <row r="501" customFormat="false" ht="15" hidden="false" customHeight="false" outlineLevel="0" collapsed="false">
      <c r="A501" s="0" t="s">
        <v>1215</v>
      </c>
      <c r="B501" s="0" t="s">
        <v>1216</v>
      </c>
      <c r="C501" s="0" t="s">
        <v>808</v>
      </c>
      <c r="D501" s="0" t="s">
        <v>65</v>
      </c>
      <c r="E501" s="0" t="s">
        <v>368</v>
      </c>
      <c r="F501" s="0" t="s">
        <v>288</v>
      </c>
      <c r="G501" s="0" t="n">
        <v>1214528</v>
      </c>
      <c r="H501" s="0" t="n">
        <v>35218</v>
      </c>
      <c r="I501" s="0" t="n">
        <v>10775</v>
      </c>
      <c r="J501" s="0" t="n">
        <v>36.8</v>
      </c>
      <c r="K501" s="0" t="n">
        <v>6</v>
      </c>
      <c r="L501" s="0" t="n">
        <v>379</v>
      </c>
      <c r="M501" s="0" t="s">
        <v>54</v>
      </c>
      <c r="N501" s="0" t="s">
        <v>96</v>
      </c>
    </row>
    <row r="502" customFormat="false" ht="15" hidden="false" customHeight="false" outlineLevel="0" collapsed="false">
      <c r="A502" s="0" t="s">
        <v>1217</v>
      </c>
      <c r="B502" s="0" t="s">
        <v>1178</v>
      </c>
      <c r="C502" s="0" t="s">
        <v>406</v>
      </c>
      <c r="D502" s="0" t="s">
        <v>17</v>
      </c>
      <c r="E502" s="0" t="s">
        <v>390</v>
      </c>
      <c r="F502" s="0" t="s">
        <v>393</v>
      </c>
      <c r="G502" s="0" t="n">
        <v>1646291</v>
      </c>
      <c r="H502" s="0" t="n">
        <v>41111</v>
      </c>
      <c r="I502" s="0" t="n">
        <v>9471</v>
      </c>
      <c r="J502" s="0" t="n">
        <v>51.1</v>
      </c>
      <c r="K502" s="0" t="n">
        <v>14</v>
      </c>
      <c r="L502" s="0" t="n">
        <v>645</v>
      </c>
      <c r="M502" s="0" t="s">
        <v>20</v>
      </c>
      <c r="N502" s="0" t="s">
        <v>21</v>
      </c>
    </row>
    <row r="503" customFormat="false" ht="15" hidden="false" customHeight="false" outlineLevel="0" collapsed="false">
      <c r="A503" s="0" t="s">
        <v>1218</v>
      </c>
      <c r="B503" s="0" t="s">
        <v>1219</v>
      </c>
      <c r="C503" s="0" t="s">
        <v>1220</v>
      </c>
      <c r="D503" s="0" t="s">
        <v>109</v>
      </c>
      <c r="E503" s="0" t="s">
        <v>339</v>
      </c>
      <c r="F503" s="0" t="s">
        <v>372</v>
      </c>
      <c r="G503" s="0" t="n">
        <v>1268014</v>
      </c>
      <c r="H503" s="0" t="n">
        <v>29340</v>
      </c>
      <c r="I503" s="0" t="n">
        <v>7942</v>
      </c>
      <c r="J503" s="0" t="n">
        <v>20.6</v>
      </c>
      <c r="K503" s="0" t="n">
        <v>19</v>
      </c>
      <c r="L503" s="0" t="n">
        <v>155</v>
      </c>
      <c r="M503" s="0" t="s">
        <v>35</v>
      </c>
      <c r="N503" s="0" t="s">
        <v>81</v>
      </c>
    </row>
    <row r="504" customFormat="false" ht="15" hidden="false" customHeight="false" outlineLevel="0" collapsed="false">
      <c r="A504" s="0" t="s">
        <v>1221</v>
      </c>
      <c r="B504" s="0" t="s">
        <v>1222</v>
      </c>
      <c r="C504" s="0" t="s">
        <v>703</v>
      </c>
      <c r="D504" s="0" t="s">
        <v>39</v>
      </c>
      <c r="E504" s="0" t="s">
        <v>472</v>
      </c>
      <c r="F504" s="0" t="s">
        <v>95</v>
      </c>
      <c r="G504" s="0" t="n">
        <v>1747171</v>
      </c>
      <c r="H504" s="0" t="n">
        <v>80758</v>
      </c>
      <c r="I504" s="0" t="n">
        <v>18314</v>
      </c>
      <c r="J504" s="0" t="n">
        <v>57</v>
      </c>
      <c r="K504" s="0" t="n">
        <v>17</v>
      </c>
      <c r="L504" s="0" t="n">
        <v>632</v>
      </c>
      <c r="M504" s="0" t="s">
        <v>20</v>
      </c>
      <c r="N504" s="0" t="s">
        <v>122</v>
      </c>
    </row>
    <row r="505" customFormat="false" ht="15" hidden="false" customHeight="false" outlineLevel="0" collapsed="false">
      <c r="A505" s="0" t="s">
        <v>1223</v>
      </c>
      <c r="B505" s="0" t="s">
        <v>179</v>
      </c>
      <c r="C505" s="0" t="s">
        <v>944</v>
      </c>
      <c r="D505" s="0" t="s">
        <v>78</v>
      </c>
      <c r="E505" s="0" t="s">
        <v>299</v>
      </c>
      <c r="F505" s="0" t="s">
        <v>495</v>
      </c>
      <c r="G505" s="0" t="n">
        <v>2430064</v>
      </c>
      <c r="H505" s="0" t="n">
        <v>106100</v>
      </c>
      <c r="I505" s="0" t="n">
        <v>36967</v>
      </c>
      <c r="J505" s="0" t="n">
        <v>43.1</v>
      </c>
      <c r="K505" s="0" t="n">
        <v>13</v>
      </c>
      <c r="L505" s="0" t="n">
        <v>372</v>
      </c>
      <c r="M505" s="0" t="s">
        <v>35</v>
      </c>
      <c r="N505" s="0" t="s">
        <v>81</v>
      </c>
    </row>
    <row r="506" customFormat="false" ht="15" hidden="false" customHeight="false" outlineLevel="0" collapsed="false">
      <c r="A506" s="0" t="s">
        <v>1224</v>
      </c>
      <c r="B506" s="0" t="s">
        <v>528</v>
      </c>
      <c r="C506" s="0" t="s">
        <v>276</v>
      </c>
      <c r="D506" s="0" t="s">
        <v>46</v>
      </c>
      <c r="E506" s="0" t="s">
        <v>305</v>
      </c>
      <c r="F506" s="0" t="s">
        <v>248</v>
      </c>
      <c r="G506" s="0" t="n">
        <v>1366120</v>
      </c>
      <c r="H506" s="0" t="n">
        <v>37201</v>
      </c>
      <c r="I506" s="0" t="n">
        <v>12307</v>
      </c>
      <c r="J506" s="0" t="n">
        <v>22</v>
      </c>
      <c r="K506" s="0" t="n">
        <v>15</v>
      </c>
      <c r="L506" s="0" t="n">
        <v>176</v>
      </c>
      <c r="M506" s="0" t="s">
        <v>54</v>
      </c>
      <c r="N506" s="0" t="s">
        <v>42</v>
      </c>
    </row>
    <row r="507" customFormat="false" ht="15" hidden="false" customHeight="false" outlineLevel="0" collapsed="false">
      <c r="A507" s="0" t="s">
        <v>1225</v>
      </c>
      <c r="B507" s="0" t="s">
        <v>1226</v>
      </c>
      <c r="C507" s="0" t="s">
        <v>1053</v>
      </c>
      <c r="D507" s="0" t="s">
        <v>39</v>
      </c>
      <c r="E507" s="0" t="s">
        <v>407</v>
      </c>
      <c r="F507" s="0" t="s">
        <v>116</v>
      </c>
      <c r="G507" s="0" t="n">
        <v>2404206</v>
      </c>
      <c r="H507" s="0" t="n">
        <v>101988</v>
      </c>
      <c r="I507" s="0" t="n">
        <v>30942</v>
      </c>
      <c r="J507" s="0" t="n">
        <v>33.8</v>
      </c>
      <c r="K507" s="0" t="n">
        <v>25</v>
      </c>
      <c r="L507" s="0" t="n">
        <v>454</v>
      </c>
      <c r="M507" s="0" t="s">
        <v>35</v>
      </c>
      <c r="N507" s="0" t="s">
        <v>140</v>
      </c>
    </row>
    <row r="508" customFormat="false" ht="15" hidden="false" customHeight="false" outlineLevel="0" collapsed="false">
      <c r="A508" s="0" t="s">
        <v>1227</v>
      </c>
      <c r="B508" s="0" t="s">
        <v>1228</v>
      </c>
      <c r="C508" s="0" t="s">
        <v>406</v>
      </c>
      <c r="D508" s="0" t="s">
        <v>39</v>
      </c>
      <c r="E508" s="0" t="s">
        <v>106</v>
      </c>
      <c r="F508" s="0" t="s">
        <v>130</v>
      </c>
      <c r="G508" s="0" t="n">
        <v>3049463</v>
      </c>
      <c r="H508" s="0" t="n">
        <v>90536</v>
      </c>
      <c r="I508" s="0" t="n">
        <v>29666</v>
      </c>
      <c r="J508" s="0" t="n">
        <v>36.7</v>
      </c>
      <c r="K508" s="0" t="n">
        <v>25</v>
      </c>
      <c r="L508" s="0" t="n">
        <v>781</v>
      </c>
      <c r="M508" s="0" t="s">
        <v>54</v>
      </c>
      <c r="N508" s="0" t="s">
        <v>102</v>
      </c>
    </row>
    <row r="509" customFormat="false" ht="15" hidden="false" customHeight="false" outlineLevel="0" collapsed="false">
      <c r="A509" s="0" t="s">
        <v>1229</v>
      </c>
      <c r="B509" s="0" t="s">
        <v>1230</v>
      </c>
      <c r="C509" s="0" t="s">
        <v>701</v>
      </c>
      <c r="D509" s="0" t="s">
        <v>109</v>
      </c>
      <c r="E509" s="0" t="s">
        <v>422</v>
      </c>
      <c r="F509" s="0" t="s">
        <v>237</v>
      </c>
      <c r="G509" s="0" t="n">
        <v>2126547</v>
      </c>
      <c r="H509" s="0" t="n">
        <v>77422</v>
      </c>
      <c r="I509" s="0" t="n">
        <v>17871</v>
      </c>
      <c r="J509" s="0" t="n">
        <v>56.5</v>
      </c>
      <c r="K509" s="0" t="n">
        <v>18</v>
      </c>
      <c r="L509" s="0" t="n">
        <v>709</v>
      </c>
      <c r="M509" s="0" t="s">
        <v>54</v>
      </c>
      <c r="N509" s="0" t="s">
        <v>102</v>
      </c>
    </row>
    <row r="510" customFormat="false" ht="15" hidden="false" customHeight="false" outlineLevel="0" collapsed="false">
      <c r="A510" s="0" t="s">
        <v>1231</v>
      </c>
      <c r="B510" s="0" t="s">
        <v>1232</v>
      </c>
      <c r="C510" s="0" t="s">
        <v>196</v>
      </c>
      <c r="D510" s="0" t="s">
        <v>32</v>
      </c>
      <c r="E510" s="0" t="s">
        <v>80</v>
      </c>
      <c r="F510" s="0" t="s">
        <v>120</v>
      </c>
      <c r="G510" s="0" t="n">
        <v>6506656</v>
      </c>
      <c r="H510" s="0" t="n">
        <v>251143</v>
      </c>
      <c r="I510" s="0" t="n">
        <v>66002</v>
      </c>
      <c r="J510" s="0" t="n">
        <v>24.6</v>
      </c>
      <c r="K510" s="0" t="n">
        <v>5</v>
      </c>
      <c r="L510" s="0" t="n">
        <v>630</v>
      </c>
      <c r="M510" s="0" t="s">
        <v>20</v>
      </c>
      <c r="N510" s="0" t="s">
        <v>122</v>
      </c>
    </row>
    <row r="511" customFormat="false" ht="15" hidden="false" customHeight="false" outlineLevel="0" collapsed="false">
      <c r="A511" s="0" t="s">
        <v>1233</v>
      </c>
      <c r="B511" s="0" t="s">
        <v>1234</v>
      </c>
      <c r="C511" s="0" t="s">
        <v>471</v>
      </c>
      <c r="D511" s="0" t="s">
        <v>46</v>
      </c>
      <c r="E511" s="0" t="s">
        <v>425</v>
      </c>
      <c r="F511" s="0" t="s">
        <v>41</v>
      </c>
      <c r="G511" s="0" t="n">
        <v>2699980</v>
      </c>
      <c r="H511" s="0" t="n">
        <v>68889</v>
      </c>
      <c r="I511" s="0" t="n">
        <v>26954</v>
      </c>
      <c r="J511" s="0" t="n">
        <v>10.6</v>
      </c>
      <c r="K511" s="0" t="n">
        <v>14</v>
      </c>
      <c r="L511" s="0" t="n">
        <v>349</v>
      </c>
      <c r="M511" s="0" t="s">
        <v>54</v>
      </c>
      <c r="N511" s="0" t="s">
        <v>28</v>
      </c>
    </row>
    <row r="512" customFormat="false" ht="15" hidden="false" customHeight="false" outlineLevel="0" collapsed="false">
      <c r="A512" s="0" t="s">
        <v>1235</v>
      </c>
      <c r="B512" s="0" t="s">
        <v>791</v>
      </c>
      <c r="C512" s="0" t="s">
        <v>867</v>
      </c>
      <c r="D512" s="0" t="s">
        <v>46</v>
      </c>
      <c r="E512" s="0" t="s">
        <v>544</v>
      </c>
      <c r="F512" s="0" t="s">
        <v>284</v>
      </c>
      <c r="G512" s="0" t="n">
        <v>2839991</v>
      </c>
      <c r="H512" s="0" t="n">
        <v>85620</v>
      </c>
      <c r="I512" s="0" t="n">
        <v>22237</v>
      </c>
      <c r="J512" s="0" t="n">
        <v>37.1</v>
      </c>
      <c r="K512" s="0" t="n">
        <v>13</v>
      </c>
      <c r="L512" s="0" t="n">
        <v>391</v>
      </c>
      <c r="M512" s="0" t="s">
        <v>35</v>
      </c>
      <c r="N512" s="0" t="s">
        <v>67</v>
      </c>
    </row>
    <row r="513" customFormat="false" ht="15" hidden="false" customHeight="false" outlineLevel="0" collapsed="false">
      <c r="A513" s="0" t="s">
        <v>1236</v>
      </c>
      <c r="B513" s="0" t="s">
        <v>1077</v>
      </c>
      <c r="C513" s="0" t="s">
        <v>1106</v>
      </c>
      <c r="D513" s="0" t="s">
        <v>17</v>
      </c>
      <c r="E513" s="0" t="s">
        <v>305</v>
      </c>
      <c r="F513" s="0" t="s">
        <v>390</v>
      </c>
      <c r="G513" s="0" t="n">
        <v>1300255</v>
      </c>
      <c r="H513" s="0" t="n">
        <v>44495</v>
      </c>
      <c r="I513" s="0" t="n">
        <v>12015</v>
      </c>
      <c r="J513" s="0" t="n">
        <v>33.4</v>
      </c>
      <c r="K513" s="0" t="n">
        <v>16</v>
      </c>
      <c r="L513" s="0" t="n">
        <v>439</v>
      </c>
      <c r="M513" s="0" t="s">
        <v>54</v>
      </c>
      <c r="N513" s="0" t="s">
        <v>21</v>
      </c>
    </row>
    <row r="514" customFormat="false" ht="15" hidden="false" customHeight="false" outlineLevel="0" collapsed="false">
      <c r="A514" s="0" t="s">
        <v>1237</v>
      </c>
      <c r="B514" s="0" t="s">
        <v>231</v>
      </c>
      <c r="C514" s="0" t="s">
        <v>1012</v>
      </c>
      <c r="D514" s="0" t="s">
        <v>59</v>
      </c>
      <c r="E514" s="0" t="s">
        <v>158</v>
      </c>
      <c r="F514" s="0" t="s">
        <v>229</v>
      </c>
      <c r="G514" s="0" t="n">
        <v>3755487</v>
      </c>
      <c r="H514" s="0" t="n">
        <v>184268</v>
      </c>
      <c r="I514" s="0" t="n">
        <v>53752</v>
      </c>
      <c r="J514" s="0" t="n">
        <v>41.4</v>
      </c>
      <c r="K514" s="0" t="n">
        <v>19</v>
      </c>
      <c r="L514" s="0" t="n">
        <v>348</v>
      </c>
      <c r="M514" s="0" t="s">
        <v>20</v>
      </c>
      <c r="N514" s="0" t="s">
        <v>102</v>
      </c>
    </row>
    <row r="515" customFormat="false" ht="15" hidden="false" customHeight="false" outlineLevel="0" collapsed="false">
      <c r="A515" s="0" t="s">
        <v>1238</v>
      </c>
      <c r="B515" s="0" t="s">
        <v>1239</v>
      </c>
      <c r="C515" s="0" t="s">
        <v>749</v>
      </c>
      <c r="D515" s="0" t="s">
        <v>78</v>
      </c>
      <c r="E515" s="0" t="s">
        <v>186</v>
      </c>
      <c r="F515" s="0" t="s">
        <v>252</v>
      </c>
      <c r="G515" s="0" t="n">
        <v>2121264</v>
      </c>
      <c r="H515" s="0" t="n">
        <v>77501</v>
      </c>
      <c r="I515" s="0" t="n">
        <v>21278</v>
      </c>
      <c r="J515" s="0" t="n">
        <v>24.2</v>
      </c>
      <c r="K515" s="0" t="n">
        <v>18</v>
      </c>
      <c r="L515" s="0" t="n">
        <v>618</v>
      </c>
      <c r="M515" s="0" t="s">
        <v>20</v>
      </c>
      <c r="N515" s="0" t="s">
        <v>140</v>
      </c>
    </row>
    <row r="516" customFormat="false" ht="15" hidden="false" customHeight="false" outlineLevel="0" collapsed="false">
      <c r="A516" s="0" t="s">
        <v>1240</v>
      </c>
      <c r="B516" s="0" t="s">
        <v>1241</v>
      </c>
      <c r="C516" s="0" t="s">
        <v>800</v>
      </c>
      <c r="D516" s="0" t="s">
        <v>89</v>
      </c>
      <c r="E516" s="0" t="s">
        <v>19</v>
      </c>
      <c r="F516" s="0" t="s">
        <v>100</v>
      </c>
      <c r="G516" s="0" t="n">
        <v>1311368</v>
      </c>
      <c r="H516" s="0" t="n">
        <v>35494</v>
      </c>
      <c r="I516" s="0" t="n">
        <v>8959</v>
      </c>
      <c r="J516" s="0" t="n">
        <v>44.2</v>
      </c>
      <c r="K516" s="0" t="n">
        <v>19</v>
      </c>
      <c r="L516" s="0" t="n">
        <v>449</v>
      </c>
      <c r="M516" s="0" t="s">
        <v>20</v>
      </c>
      <c r="N516" s="0" t="s">
        <v>42</v>
      </c>
    </row>
    <row r="517" customFormat="false" ht="15" hidden="false" customHeight="false" outlineLevel="0" collapsed="false">
      <c r="A517" s="0" t="s">
        <v>1242</v>
      </c>
      <c r="B517" s="0" t="s">
        <v>1243</v>
      </c>
      <c r="C517" s="0" t="s">
        <v>471</v>
      </c>
      <c r="D517" s="0" t="s">
        <v>32</v>
      </c>
      <c r="E517" s="0" t="s">
        <v>289</v>
      </c>
      <c r="F517" s="0" t="s">
        <v>238</v>
      </c>
      <c r="G517" s="0" t="n">
        <v>5291591</v>
      </c>
      <c r="H517" s="0" t="n">
        <v>180574</v>
      </c>
      <c r="I517" s="0" t="n">
        <v>61687</v>
      </c>
      <c r="J517" s="0" t="n">
        <v>33.8</v>
      </c>
      <c r="K517" s="0" t="n">
        <v>15</v>
      </c>
      <c r="L517" s="0" t="n">
        <v>633</v>
      </c>
      <c r="M517" s="0" t="s">
        <v>20</v>
      </c>
      <c r="N517" s="0" t="s">
        <v>67</v>
      </c>
    </row>
    <row r="518" customFormat="false" ht="15" hidden="false" customHeight="false" outlineLevel="0" collapsed="false">
      <c r="A518" s="0" t="s">
        <v>1244</v>
      </c>
      <c r="B518" s="0" t="s">
        <v>755</v>
      </c>
      <c r="C518" s="0" t="s">
        <v>510</v>
      </c>
      <c r="D518" s="0" t="s">
        <v>109</v>
      </c>
      <c r="E518" s="0" t="s">
        <v>269</v>
      </c>
      <c r="F518" s="0" t="s">
        <v>472</v>
      </c>
      <c r="G518" s="0" t="n">
        <v>1989762</v>
      </c>
      <c r="H518" s="0" t="n">
        <v>63092</v>
      </c>
      <c r="I518" s="0" t="n">
        <v>14902</v>
      </c>
      <c r="J518" s="0" t="n">
        <v>33.2</v>
      </c>
      <c r="K518" s="0" t="n">
        <v>13</v>
      </c>
      <c r="L518" s="0" t="n">
        <v>641</v>
      </c>
      <c r="M518" s="0" t="s">
        <v>54</v>
      </c>
      <c r="N518" s="0" t="s">
        <v>81</v>
      </c>
    </row>
    <row r="519" customFormat="false" ht="15" hidden="false" customHeight="false" outlineLevel="0" collapsed="false">
      <c r="A519" s="0" t="s">
        <v>1245</v>
      </c>
      <c r="B519" s="0" t="s">
        <v>1246</v>
      </c>
      <c r="C519" s="0" t="s">
        <v>217</v>
      </c>
      <c r="D519" s="0" t="s">
        <v>17</v>
      </c>
      <c r="E519" s="0" t="s">
        <v>472</v>
      </c>
      <c r="F519" s="0" t="s">
        <v>618</v>
      </c>
      <c r="G519" s="0" t="n">
        <v>1886378</v>
      </c>
      <c r="H519" s="0" t="n">
        <v>49526</v>
      </c>
      <c r="I519" s="0" t="n">
        <v>11050</v>
      </c>
      <c r="J519" s="0" t="n">
        <v>43.9</v>
      </c>
      <c r="K519" s="0" t="n">
        <v>5</v>
      </c>
      <c r="L519" s="0" t="n">
        <v>493</v>
      </c>
      <c r="M519" s="0" t="s">
        <v>20</v>
      </c>
      <c r="N519" s="0" t="s">
        <v>21</v>
      </c>
    </row>
    <row r="520" customFormat="false" ht="15" hidden="false" customHeight="false" outlineLevel="0" collapsed="false">
      <c r="A520" s="0" t="s">
        <v>1247</v>
      </c>
      <c r="B520" s="0" t="s">
        <v>1248</v>
      </c>
      <c r="C520" s="0" t="s">
        <v>661</v>
      </c>
      <c r="D520" s="0" t="s">
        <v>25</v>
      </c>
      <c r="E520" s="0" t="s">
        <v>302</v>
      </c>
      <c r="F520" s="0" t="s">
        <v>95</v>
      </c>
      <c r="G520" s="0" t="n">
        <v>1999762</v>
      </c>
      <c r="H520" s="0" t="n">
        <v>83157</v>
      </c>
      <c r="I520" s="0" t="n">
        <v>27057</v>
      </c>
      <c r="J520" s="0" t="n">
        <v>10.4</v>
      </c>
      <c r="K520" s="0" t="n">
        <v>19</v>
      </c>
      <c r="L520" s="0" t="n">
        <v>193</v>
      </c>
      <c r="M520" s="0" t="s">
        <v>54</v>
      </c>
      <c r="N520" s="0" t="s">
        <v>21</v>
      </c>
    </row>
    <row r="521" customFormat="false" ht="15" hidden="false" customHeight="false" outlineLevel="0" collapsed="false">
      <c r="A521" s="0" t="s">
        <v>1249</v>
      </c>
      <c r="B521" s="0" t="s">
        <v>1250</v>
      </c>
      <c r="C521" s="0" t="s">
        <v>367</v>
      </c>
      <c r="D521" s="0" t="s">
        <v>65</v>
      </c>
      <c r="E521" s="0" t="s">
        <v>27</v>
      </c>
      <c r="F521" s="0" t="s">
        <v>149</v>
      </c>
      <c r="G521" s="0" t="n">
        <v>1918334</v>
      </c>
      <c r="H521" s="0" t="n">
        <v>66342</v>
      </c>
      <c r="I521" s="0" t="n">
        <v>21922</v>
      </c>
      <c r="J521" s="0" t="n">
        <v>45.7</v>
      </c>
      <c r="K521" s="0" t="n">
        <v>23</v>
      </c>
      <c r="L521" s="0" t="n">
        <v>347</v>
      </c>
      <c r="M521" s="0" t="s">
        <v>54</v>
      </c>
      <c r="N521" s="0" t="s">
        <v>28</v>
      </c>
    </row>
    <row r="522" customFormat="false" ht="15" hidden="false" customHeight="false" outlineLevel="0" collapsed="false">
      <c r="A522" s="0" t="s">
        <v>1251</v>
      </c>
      <c r="B522" s="0" t="s">
        <v>1118</v>
      </c>
      <c r="C522" s="0" t="s">
        <v>641</v>
      </c>
      <c r="D522" s="0" t="s">
        <v>71</v>
      </c>
      <c r="E522" s="0" t="s">
        <v>987</v>
      </c>
      <c r="F522" s="0" t="s">
        <v>220</v>
      </c>
      <c r="G522" s="0" t="n">
        <v>1144144</v>
      </c>
      <c r="H522" s="0" t="n">
        <v>29078</v>
      </c>
      <c r="I522" s="0" t="n">
        <v>7608</v>
      </c>
      <c r="J522" s="0" t="n">
        <v>34.5</v>
      </c>
      <c r="K522" s="0" t="n">
        <v>13</v>
      </c>
      <c r="L522" s="0" t="n">
        <v>575</v>
      </c>
      <c r="M522" s="0" t="s">
        <v>20</v>
      </c>
      <c r="N522" s="0" t="s">
        <v>74</v>
      </c>
    </row>
    <row r="523" customFormat="false" ht="15" hidden="false" customHeight="false" outlineLevel="0" collapsed="false">
      <c r="A523" s="0" t="s">
        <v>1252</v>
      </c>
      <c r="B523" s="0" t="s">
        <v>174</v>
      </c>
      <c r="C523" s="0" t="s">
        <v>460</v>
      </c>
      <c r="D523" s="0" t="s">
        <v>71</v>
      </c>
      <c r="E523" s="0" t="s">
        <v>27</v>
      </c>
      <c r="F523" s="0" t="s">
        <v>756</v>
      </c>
      <c r="G523" s="0" t="n">
        <v>1127734</v>
      </c>
      <c r="H523" s="0" t="n">
        <v>32415</v>
      </c>
      <c r="I523" s="0" t="n">
        <v>10689</v>
      </c>
      <c r="J523" s="0" t="n">
        <v>48.4</v>
      </c>
      <c r="K523" s="0" t="n">
        <v>22</v>
      </c>
      <c r="L523" s="0" t="n">
        <v>643</v>
      </c>
      <c r="M523" s="0" t="s">
        <v>54</v>
      </c>
      <c r="N523" s="0" t="s">
        <v>74</v>
      </c>
    </row>
    <row r="524" customFormat="false" ht="15" hidden="false" customHeight="false" outlineLevel="0" collapsed="false">
      <c r="A524" s="0" t="s">
        <v>1253</v>
      </c>
      <c r="B524" s="0" t="s">
        <v>1254</v>
      </c>
      <c r="C524" s="0" t="s">
        <v>189</v>
      </c>
      <c r="D524" s="0" t="s">
        <v>144</v>
      </c>
      <c r="E524" s="0" t="s">
        <v>788</v>
      </c>
      <c r="F524" s="0" t="s">
        <v>80</v>
      </c>
      <c r="G524" s="0" t="n">
        <v>1988100</v>
      </c>
      <c r="H524" s="0" t="n">
        <v>52292</v>
      </c>
      <c r="I524" s="0" t="n">
        <v>15097</v>
      </c>
      <c r="J524" s="0" t="n">
        <v>18.2</v>
      </c>
      <c r="K524" s="0" t="n">
        <v>7</v>
      </c>
      <c r="L524" s="0" t="n">
        <v>391</v>
      </c>
      <c r="M524" s="0" t="s">
        <v>54</v>
      </c>
      <c r="N524" s="0" t="s">
        <v>96</v>
      </c>
    </row>
    <row r="525" customFormat="false" ht="15" hidden="false" customHeight="false" outlineLevel="0" collapsed="false">
      <c r="A525" s="0" t="s">
        <v>1255</v>
      </c>
      <c r="B525" s="0" t="s">
        <v>760</v>
      </c>
      <c r="C525" s="0" t="s">
        <v>175</v>
      </c>
      <c r="D525" s="0" t="s">
        <v>71</v>
      </c>
      <c r="E525" s="0" t="s">
        <v>181</v>
      </c>
      <c r="F525" s="0" t="s">
        <v>176</v>
      </c>
      <c r="G525" s="0" t="n">
        <v>1555367</v>
      </c>
      <c r="H525" s="0" t="n">
        <v>38332</v>
      </c>
      <c r="I525" s="0" t="n">
        <v>14303</v>
      </c>
      <c r="J525" s="0" t="n">
        <v>10.9</v>
      </c>
      <c r="K525" s="0" t="n">
        <v>16</v>
      </c>
      <c r="L525" s="0" t="n">
        <v>465</v>
      </c>
      <c r="M525" s="0" t="s">
        <v>54</v>
      </c>
      <c r="N525" s="0" t="s">
        <v>102</v>
      </c>
    </row>
    <row r="526" customFormat="false" ht="15" hidden="false" customHeight="false" outlineLevel="0" collapsed="false">
      <c r="A526" s="0" t="s">
        <v>1256</v>
      </c>
      <c r="B526" s="0" t="s">
        <v>1257</v>
      </c>
      <c r="C526" s="0" t="s">
        <v>350</v>
      </c>
      <c r="D526" s="0" t="s">
        <v>71</v>
      </c>
      <c r="E526" s="0" t="s">
        <v>314</v>
      </c>
      <c r="F526" s="0" t="s">
        <v>248</v>
      </c>
      <c r="G526" s="0" t="n">
        <v>954716</v>
      </c>
      <c r="H526" s="0" t="n">
        <v>27520</v>
      </c>
      <c r="I526" s="0" t="n">
        <v>7993</v>
      </c>
      <c r="J526" s="0" t="n">
        <v>9.3</v>
      </c>
      <c r="K526" s="0" t="n">
        <v>10</v>
      </c>
      <c r="L526" s="0" t="n">
        <v>265</v>
      </c>
      <c r="M526" s="0" t="s">
        <v>20</v>
      </c>
      <c r="N526" s="0" t="s">
        <v>55</v>
      </c>
    </row>
    <row r="527" customFormat="false" ht="15" hidden="false" customHeight="false" outlineLevel="0" collapsed="false">
      <c r="A527" s="0" t="s">
        <v>1258</v>
      </c>
      <c r="B527" s="0" t="s">
        <v>179</v>
      </c>
      <c r="C527" s="0" t="s">
        <v>1259</v>
      </c>
      <c r="D527" s="0" t="s">
        <v>144</v>
      </c>
      <c r="E527" s="0" t="s">
        <v>238</v>
      </c>
      <c r="F527" s="0" t="s">
        <v>116</v>
      </c>
      <c r="G527" s="0" t="n">
        <v>1981665</v>
      </c>
      <c r="H527" s="0" t="n">
        <v>50182</v>
      </c>
      <c r="I527" s="0" t="n">
        <v>13585</v>
      </c>
      <c r="J527" s="0" t="n">
        <v>7</v>
      </c>
      <c r="K527" s="0" t="n">
        <v>19</v>
      </c>
      <c r="L527" s="0" t="n">
        <v>478</v>
      </c>
      <c r="M527" s="0" t="s">
        <v>54</v>
      </c>
      <c r="N527" s="0" t="s">
        <v>140</v>
      </c>
    </row>
    <row r="528" customFormat="false" ht="15" hidden="false" customHeight="false" outlineLevel="0" collapsed="false">
      <c r="A528" s="0" t="s">
        <v>1260</v>
      </c>
      <c r="B528" s="0" t="s">
        <v>1261</v>
      </c>
      <c r="C528" s="0" t="s">
        <v>784</v>
      </c>
      <c r="D528" s="0" t="s">
        <v>144</v>
      </c>
      <c r="E528" s="0" t="s">
        <v>163</v>
      </c>
      <c r="F528" s="0" t="s">
        <v>159</v>
      </c>
      <c r="G528" s="0" t="n">
        <v>1505310</v>
      </c>
      <c r="H528" s="0" t="n">
        <v>29859</v>
      </c>
      <c r="I528" s="0" t="n">
        <v>7295</v>
      </c>
      <c r="J528" s="0" t="n">
        <v>7.2</v>
      </c>
      <c r="K528" s="0" t="n">
        <v>12</v>
      </c>
      <c r="L528" s="0" t="n">
        <v>414</v>
      </c>
      <c r="M528" s="0" t="s">
        <v>54</v>
      </c>
      <c r="N528" s="0" t="s">
        <v>28</v>
      </c>
    </row>
    <row r="529" customFormat="false" ht="15" hidden="false" customHeight="false" outlineLevel="0" collapsed="false">
      <c r="A529" s="0" t="s">
        <v>1262</v>
      </c>
      <c r="B529" s="0" t="s">
        <v>1263</v>
      </c>
      <c r="C529" s="0" t="s">
        <v>698</v>
      </c>
      <c r="D529" s="0" t="s">
        <v>59</v>
      </c>
      <c r="E529" s="0" t="s">
        <v>329</v>
      </c>
      <c r="F529" s="0" t="s">
        <v>675</v>
      </c>
      <c r="G529" s="0" t="n">
        <v>1928464</v>
      </c>
      <c r="H529" s="0" t="n">
        <v>81187</v>
      </c>
      <c r="I529" s="0" t="n">
        <v>21014</v>
      </c>
      <c r="J529" s="0" t="n">
        <v>16.3</v>
      </c>
      <c r="K529" s="0" t="n">
        <v>7</v>
      </c>
      <c r="L529" s="0" t="n">
        <v>693</v>
      </c>
      <c r="M529" s="0" t="s">
        <v>20</v>
      </c>
      <c r="N529" s="0" t="s">
        <v>21</v>
      </c>
    </row>
    <row r="530" customFormat="false" ht="15" hidden="false" customHeight="false" outlineLevel="0" collapsed="false">
      <c r="A530" s="0" t="s">
        <v>1264</v>
      </c>
      <c r="B530" s="0" t="s">
        <v>1265</v>
      </c>
      <c r="C530" s="0" t="s">
        <v>385</v>
      </c>
      <c r="D530" s="0" t="s">
        <v>46</v>
      </c>
      <c r="E530" s="0" t="s">
        <v>770</v>
      </c>
      <c r="F530" s="0" t="s">
        <v>110</v>
      </c>
      <c r="G530" s="0" t="n">
        <v>1439147</v>
      </c>
      <c r="H530" s="0" t="n">
        <v>42006</v>
      </c>
      <c r="I530" s="0" t="n">
        <v>11201</v>
      </c>
      <c r="J530" s="0" t="n">
        <v>57.9</v>
      </c>
      <c r="K530" s="0" t="n">
        <v>17</v>
      </c>
      <c r="L530" s="0" t="n">
        <v>284</v>
      </c>
      <c r="M530" s="0" t="s">
        <v>20</v>
      </c>
      <c r="N530" s="0" t="s">
        <v>140</v>
      </c>
    </row>
    <row r="531" customFormat="false" ht="15" hidden="false" customHeight="false" outlineLevel="0" collapsed="false">
      <c r="A531" s="0" t="s">
        <v>1266</v>
      </c>
      <c r="B531" s="0" t="s">
        <v>884</v>
      </c>
      <c r="C531" s="0" t="s">
        <v>523</v>
      </c>
      <c r="D531" s="0" t="s">
        <v>46</v>
      </c>
      <c r="E531" s="0" t="s">
        <v>558</v>
      </c>
      <c r="F531" s="0" t="s">
        <v>80</v>
      </c>
      <c r="G531" s="0" t="n">
        <v>2057728</v>
      </c>
      <c r="H531" s="0" t="n">
        <v>57625</v>
      </c>
      <c r="I531" s="0" t="n">
        <v>17028</v>
      </c>
      <c r="J531" s="0" t="n">
        <v>14.8</v>
      </c>
      <c r="K531" s="0" t="n">
        <v>16</v>
      </c>
      <c r="L531" s="0" t="n">
        <v>180</v>
      </c>
      <c r="M531" s="0" t="s">
        <v>20</v>
      </c>
      <c r="N531" s="0" t="s">
        <v>74</v>
      </c>
    </row>
    <row r="532" customFormat="false" ht="15" hidden="false" customHeight="false" outlineLevel="0" collapsed="false">
      <c r="A532" s="0" t="s">
        <v>1267</v>
      </c>
      <c r="B532" s="0" t="s">
        <v>1268</v>
      </c>
      <c r="C532" s="0" t="s">
        <v>189</v>
      </c>
      <c r="D532" s="0" t="s">
        <v>109</v>
      </c>
      <c r="E532" s="0" t="s">
        <v>552</v>
      </c>
      <c r="F532" s="0" t="s">
        <v>440</v>
      </c>
      <c r="G532" s="0" t="n">
        <v>2147351</v>
      </c>
      <c r="H532" s="0" t="n">
        <v>63406</v>
      </c>
      <c r="I532" s="0" t="n">
        <v>18190</v>
      </c>
      <c r="J532" s="0" t="n">
        <v>10.9</v>
      </c>
      <c r="K532" s="0" t="n">
        <v>10</v>
      </c>
      <c r="L532" s="0" t="n">
        <v>199</v>
      </c>
      <c r="M532" s="0" t="s">
        <v>20</v>
      </c>
      <c r="N532" s="0" t="s">
        <v>140</v>
      </c>
    </row>
    <row r="533" customFormat="false" ht="15" hidden="false" customHeight="false" outlineLevel="0" collapsed="false">
      <c r="A533" s="0" t="s">
        <v>1269</v>
      </c>
      <c r="B533" s="0" t="s">
        <v>1270</v>
      </c>
      <c r="C533" s="0" t="s">
        <v>731</v>
      </c>
      <c r="D533" s="0" t="s">
        <v>17</v>
      </c>
      <c r="E533" s="0" t="s">
        <v>666</v>
      </c>
      <c r="F533" s="0" t="s">
        <v>154</v>
      </c>
      <c r="G533" s="0" t="n">
        <v>2802243</v>
      </c>
      <c r="H533" s="0" t="n">
        <v>74469</v>
      </c>
      <c r="I533" s="0" t="n">
        <v>16968</v>
      </c>
      <c r="J533" s="0" t="n">
        <v>37.8</v>
      </c>
      <c r="K533" s="0" t="n">
        <v>12</v>
      </c>
      <c r="L533" s="0" t="n">
        <v>508</v>
      </c>
      <c r="M533" s="0" t="s">
        <v>20</v>
      </c>
      <c r="N533" s="0" t="s">
        <v>140</v>
      </c>
    </row>
    <row r="534" customFormat="false" ht="15" hidden="false" customHeight="false" outlineLevel="0" collapsed="false">
      <c r="A534" s="0" t="s">
        <v>1271</v>
      </c>
      <c r="B534" s="0" t="s">
        <v>272</v>
      </c>
      <c r="C534" s="0" t="s">
        <v>595</v>
      </c>
      <c r="D534" s="0" t="s">
        <v>46</v>
      </c>
      <c r="E534" s="0" t="s">
        <v>487</v>
      </c>
      <c r="F534" s="0" t="s">
        <v>266</v>
      </c>
      <c r="G534" s="0" t="n">
        <v>2316554</v>
      </c>
      <c r="H534" s="0" t="n">
        <v>80126</v>
      </c>
      <c r="I534" s="0" t="n">
        <v>18292</v>
      </c>
      <c r="J534" s="0" t="n">
        <v>52.6</v>
      </c>
      <c r="K534" s="0" t="n">
        <v>23</v>
      </c>
      <c r="L534" s="0" t="n">
        <v>205</v>
      </c>
      <c r="M534" s="0" t="s">
        <v>20</v>
      </c>
      <c r="N534" s="0" t="s">
        <v>169</v>
      </c>
    </row>
    <row r="535" customFormat="false" ht="15" hidden="false" customHeight="false" outlineLevel="0" collapsed="false">
      <c r="A535" s="0" t="s">
        <v>1272</v>
      </c>
      <c r="B535" s="0" t="s">
        <v>113</v>
      </c>
      <c r="C535" s="0" t="s">
        <v>58</v>
      </c>
      <c r="D535" s="0" t="s">
        <v>46</v>
      </c>
      <c r="E535" s="0" t="s">
        <v>125</v>
      </c>
      <c r="F535" s="0" t="s">
        <v>418</v>
      </c>
      <c r="G535" s="0" t="n">
        <v>2156572</v>
      </c>
      <c r="H535" s="0" t="n">
        <v>53127</v>
      </c>
      <c r="I535" s="0" t="n">
        <v>15276</v>
      </c>
      <c r="J535" s="0" t="n">
        <v>3.3</v>
      </c>
      <c r="K535" s="0" t="n">
        <v>18</v>
      </c>
      <c r="L535" s="0" t="n">
        <v>184</v>
      </c>
      <c r="M535" s="0" t="s">
        <v>20</v>
      </c>
      <c r="N535" s="0" t="s">
        <v>21</v>
      </c>
    </row>
    <row r="536" customFormat="false" ht="15" hidden="false" customHeight="false" outlineLevel="0" collapsed="false">
      <c r="A536" s="0" t="s">
        <v>1273</v>
      </c>
      <c r="B536" s="0" t="s">
        <v>1274</v>
      </c>
      <c r="C536" s="0" t="s">
        <v>1083</v>
      </c>
      <c r="D536" s="0" t="s">
        <v>25</v>
      </c>
      <c r="E536" s="0" t="s">
        <v>666</v>
      </c>
      <c r="F536" s="0" t="s">
        <v>154</v>
      </c>
      <c r="G536" s="0" t="n">
        <v>3015874</v>
      </c>
      <c r="H536" s="0" t="n">
        <v>97496</v>
      </c>
      <c r="I536" s="0" t="n">
        <v>24873</v>
      </c>
      <c r="J536" s="0" t="n">
        <v>56.9</v>
      </c>
      <c r="K536" s="0" t="n">
        <v>10</v>
      </c>
      <c r="L536" s="0" t="n">
        <v>774</v>
      </c>
      <c r="M536" s="0" t="s">
        <v>20</v>
      </c>
      <c r="N536" s="0" t="s">
        <v>102</v>
      </c>
    </row>
    <row r="537" customFormat="false" ht="15" hidden="false" customHeight="false" outlineLevel="0" collapsed="false">
      <c r="A537" s="0" t="s">
        <v>1275</v>
      </c>
      <c r="B537" s="0" t="s">
        <v>1276</v>
      </c>
      <c r="C537" s="0" t="s">
        <v>1066</v>
      </c>
      <c r="D537" s="0" t="s">
        <v>59</v>
      </c>
      <c r="E537" s="0" t="s">
        <v>495</v>
      </c>
      <c r="F537" s="0" t="s">
        <v>80</v>
      </c>
      <c r="G537" s="0" t="n">
        <v>2261240</v>
      </c>
      <c r="H537" s="0" t="n">
        <v>122962</v>
      </c>
      <c r="I537" s="0" t="n">
        <v>27044</v>
      </c>
      <c r="J537" s="0" t="n">
        <v>27.8</v>
      </c>
      <c r="K537" s="0" t="n">
        <v>7</v>
      </c>
      <c r="L537" s="0" t="n">
        <v>711</v>
      </c>
      <c r="M537" s="0" t="s">
        <v>54</v>
      </c>
      <c r="N537" s="0" t="s">
        <v>67</v>
      </c>
    </row>
    <row r="538" customFormat="false" ht="15" hidden="false" customHeight="false" outlineLevel="0" collapsed="false">
      <c r="A538" s="0" t="s">
        <v>1277</v>
      </c>
      <c r="B538" s="0" t="s">
        <v>1278</v>
      </c>
      <c r="C538" s="0" t="s">
        <v>745</v>
      </c>
      <c r="D538" s="0" t="s">
        <v>109</v>
      </c>
      <c r="E538" s="0" t="s">
        <v>339</v>
      </c>
      <c r="F538" s="0" t="s">
        <v>372</v>
      </c>
      <c r="G538" s="0" t="n">
        <v>2045857</v>
      </c>
      <c r="H538" s="0" t="n">
        <v>55939</v>
      </c>
      <c r="I538" s="0" t="n">
        <v>13227</v>
      </c>
      <c r="J538" s="0" t="n">
        <v>8.4</v>
      </c>
      <c r="K538" s="0" t="n">
        <v>20</v>
      </c>
      <c r="L538" s="0" t="n">
        <v>285</v>
      </c>
      <c r="M538" s="0" t="s">
        <v>20</v>
      </c>
      <c r="N538" s="0" t="s">
        <v>96</v>
      </c>
    </row>
    <row r="539" customFormat="false" ht="15" hidden="false" customHeight="false" outlineLevel="0" collapsed="false">
      <c r="A539" s="0" t="s">
        <v>1279</v>
      </c>
      <c r="B539" s="0" t="s">
        <v>1280</v>
      </c>
      <c r="C539" s="0" t="s">
        <v>611</v>
      </c>
      <c r="D539" s="0" t="s">
        <v>65</v>
      </c>
      <c r="E539" s="0" t="s">
        <v>253</v>
      </c>
      <c r="F539" s="0" t="s">
        <v>204</v>
      </c>
      <c r="G539" s="0" t="n">
        <v>2283172</v>
      </c>
      <c r="H539" s="0" t="n">
        <v>68764</v>
      </c>
      <c r="I539" s="0" t="n">
        <v>24179</v>
      </c>
      <c r="J539" s="0" t="n">
        <v>51.6</v>
      </c>
      <c r="K539" s="0" t="n">
        <v>7</v>
      </c>
      <c r="L539" s="0" t="n">
        <v>515</v>
      </c>
      <c r="M539" s="0" t="s">
        <v>20</v>
      </c>
      <c r="N539" s="0" t="s">
        <v>55</v>
      </c>
    </row>
    <row r="540" customFormat="false" ht="15" hidden="false" customHeight="false" outlineLevel="0" collapsed="false">
      <c r="A540" s="0" t="s">
        <v>1281</v>
      </c>
      <c r="B540" s="0" t="s">
        <v>1282</v>
      </c>
      <c r="C540" s="0" t="s">
        <v>327</v>
      </c>
      <c r="D540" s="0" t="s">
        <v>25</v>
      </c>
      <c r="E540" s="0" t="s">
        <v>574</v>
      </c>
      <c r="F540" s="0" t="s">
        <v>487</v>
      </c>
      <c r="G540" s="0" t="n">
        <v>2647089</v>
      </c>
      <c r="H540" s="0" t="n">
        <v>105426</v>
      </c>
      <c r="I540" s="0" t="n">
        <v>34996</v>
      </c>
      <c r="J540" s="0" t="n">
        <v>9.3</v>
      </c>
      <c r="K540" s="0" t="n">
        <v>20</v>
      </c>
      <c r="L540" s="0" t="n">
        <v>284</v>
      </c>
      <c r="M540" s="0" t="s">
        <v>20</v>
      </c>
      <c r="N540" s="0" t="s">
        <v>74</v>
      </c>
    </row>
    <row r="541" customFormat="false" ht="15" hidden="false" customHeight="false" outlineLevel="0" collapsed="false">
      <c r="A541" s="0" t="s">
        <v>1283</v>
      </c>
      <c r="B541" s="0" t="s">
        <v>1284</v>
      </c>
      <c r="C541" s="0" t="s">
        <v>902</v>
      </c>
      <c r="D541" s="0" t="s">
        <v>89</v>
      </c>
      <c r="E541" s="0" t="s">
        <v>244</v>
      </c>
      <c r="F541" s="0" t="s">
        <v>18</v>
      </c>
      <c r="G541" s="0" t="n">
        <v>1693435</v>
      </c>
      <c r="H541" s="0" t="n">
        <v>37135</v>
      </c>
      <c r="I541" s="0" t="n">
        <v>12036</v>
      </c>
      <c r="J541" s="0" t="n">
        <v>46.1</v>
      </c>
      <c r="K541" s="0" t="n">
        <v>12</v>
      </c>
      <c r="L541" s="0" t="n">
        <v>345</v>
      </c>
      <c r="M541" s="0" t="s">
        <v>35</v>
      </c>
      <c r="N541" s="0" t="s">
        <v>140</v>
      </c>
    </row>
    <row r="542" customFormat="false" ht="15" hidden="false" customHeight="false" outlineLevel="0" collapsed="false">
      <c r="A542" s="0" t="s">
        <v>1285</v>
      </c>
      <c r="B542" s="0" t="s">
        <v>1286</v>
      </c>
      <c r="C542" s="0" t="s">
        <v>99</v>
      </c>
      <c r="D542" s="0" t="s">
        <v>71</v>
      </c>
      <c r="E542" s="0" t="s">
        <v>94</v>
      </c>
      <c r="F542" s="0" t="s">
        <v>472</v>
      </c>
      <c r="G542" s="0" t="n">
        <v>1403403</v>
      </c>
      <c r="H542" s="0" t="n">
        <v>33960</v>
      </c>
      <c r="I542" s="0" t="n">
        <v>9027</v>
      </c>
      <c r="J542" s="0" t="n">
        <v>9.8</v>
      </c>
      <c r="K542" s="0" t="n">
        <v>11</v>
      </c>
      <c r="L542" s="0" t="n">
        <v>588</v>
      </c>
      <c r="M542" s="0" t="s">
        <v>54</v>
      </c>
      <c r="N542" s="0" t="s">
        <v>28</v>
      </c>
    </row>
    <row r="543" customFormat="false" ht="15" hidden="false" customHeight="false" outlineLevel="0" collapsed="false">
      <c r="A543" s="0" t="s">
        <v>1287</v>
      </c>
      <c r="B543" s="0" t="s">
        <v>1288</v>
      </c>
      <c r="C543" s="0" t="s">
        <v>175</v>
      </c>
      <c r="D543" s="0" t="s">
        <v>109</v>
      </c>
      <c r="E543" s="0" t="s">
        <v>418</v>
      </c>
      <c r="F543" s="0" t="s">
        <v>292</v>
      </c>
      <c r="G543" s="0" t="n">
        <v>1252884</v>
      </c>
      <c r="H543" s="0" t="n">
        <v>48698</v>
      </c>
      <c r="I543" s="0" t="n">
        <v>14366</v>
      </c>
      <c r="J543" s="0" t="n">
        <v>25</v>
      </c>
      <c r="K543" s="0" t="n">
        <v>8</v>
      </c>
      <c r="L543" s="0" t="n">
        <v>538</v>
      </c>
      <c r="M543" s="0" t="s">
        <v>20</v>
      </c>
      <c r="N543" s="0" t="s">
        <v>28</v>
      </c>
    </row>
    <row r="544" customFormat="false" ht="15" hidden="false" customHeight="false" outlineLevel="0" collapsed="false">
      <c r="A544" s="0" t="s">
        <v>1289</v>
      </c>
      <c r="B544" s="0" t="s">
        <v>1290</v>
      </c>
      <c r="C544" s="0" t="s">
        <v>691</v>
      </c>
      <c r="D544" s="0" t="s">
        <v>32</v>
      </c>
      <c r="E544" s="0" t="s">
        <v>959</v>
      </c>
      <c r="F544" s="0" t="s">
        <v>220</v>
      </c>
      <c r="G544" s="0" t="n">
        <v>2893186</v>
      </c>
      <c r="H544" s="0" t="n">
        <v>105061</v>
      </c>
      <c r="I544" s="0" t="n">
        <v>31973</v>
      </c>
      <c r="J544" s="0" t="n">
        <v>33.8</v>
      </c>
      <c r="K544" s="0" t="n">
        <v>13</v>
      </c>
      <c r="L544" s="0" t="n">
        <v>429</v>
      </c>
      <c r="M544" s="0" t="s">
        <v>35</v>
      </c>
      <c r="N544" s="0" t="s">
        <v>169</v>
      </c>
    </row>
    <row r="545" customFormat="false" ht="15" hidden="false" customHeight="false" outlineLevel="0" collapsed="false">
      <c r="A545" s="0" t="s">
        <v>1291</v>
      </c>
      <c r="B545" s="0" t="s">
        <v>1292</v>
      </c>
      <c r="C545" s="0" t="s">
        <v>1293</v>
      </c>
      <c r="D545" s="0" t="s">
        <v>39</v>
      </c>
      <c r="E545" s="0" t="s">
        <v>53</v>
      </c>
      <c r="F545" s="0" t="s">
        <v>574</v>
      </c>
      <c r="G545" s="0" t="n">
        <v>2529689</v>
      </c>
      <c r="H545" s="0" t="n">
        <v>81688</v>
      </c>
      <c r="I545" s="0" t="n">
        <v>29939</v>
      </c>
      <c r="J545" s="0" t="n">
        <v>22.4</v>
      </c>
      <c r="K545" s="0" t="n">
        <v>13</v>
      </c>
      <c r="L545" s="0" t="n">
        <v>640</v>
      </c>
      <c r="M545" s="0" t="s">
        <v>20</v>
      </c>
      <c r="N545" s="0" t="s">
        <v>122</v>
      </c>
    </row>
    <row r="546" customFormat="false" ht="15" hidden="false" customHeight="false" outlineLevel="0" collapsed="false">
      <c r="A546" s="0" t="s">
        <v>1294</v>
      </c>
      <c r="B546" s="0" t="s">
        <v>1295</v>
      </c>
      <c r="C546" s="0" t="s">
        <v>1296</v>
      </c>
      <c r="D546" s="0" t="s">
        <v>17</v>
      </c>
      <c r="E546" s="0" t="s">
        <v>306</v>
      </c>
      <c r="F546" s="0" t="s">
        <v>539</v>
      </c>
      <c r="G546" s="0" t="n">
        <v>1371567</v>
      </c>
      <c r="H546" s="0" t="n">
        <v>47805</v>
      </c>
      <c r="I546" s="0" t="n">
        <v>12149</v>
      </c>
      <c r="J546" s="0" t="n">
        <v>55.1</v>
      </c>
      <c r="K546" s="0" t="n">
        <v>15</v>
      </c>
      <c r="L546" s="0" t="n">
        <v>189</v>
      </c>
      <c r="M546" s="0" t="s">
        <v>20</v>
      </c>
      <c r="N546" s="0" t="s">
        <v>169</v>
      </c>
    </row>
    <row r="547" customFormat="false" ht="15" hidden="false" customHeight="false" outlineLevel="0" collapsed="false">
      <c r="A547" s="0" t="s">
        <v>1297</v>
      </c>
      <c r="B547" s="0" t="s">
        <v>1298</v>
      </c>
      <c r="C547" s="0" t="s">
        <v>578</v>
      </c>
      <c r="D547" s="0" t="s">
        <v>89</v>
      </c>
      <c r="E547" s="0" t="s">
        <v>198</v>
      </c>
      <c r="F547" s="0" t="s">
        <v>552</v>
      </c>
      <c r="G547" s="0" t="n">
        <v>1520257</v>
      </c>
      <c r="H547" s="0" t="n">
        <v>36438</v>
      </c>
      <c r="I547" s="0" t="n">
        <v>12845</v>
      </c>
      <c r="J547" s="0" t="n">
        <v>22.1</v>
      </c>
      <c r="K547" s="0" t="n">
        <v>6</v>
      </c>
      <c r="L547" s="0" t="n">
        <v>628</v>
      </c>
      <c r="M547" s="0" t="s">
        <v>20</v>
      </c>
      <c r="N547" s="0" t="s">
        <v>81</v>
      </c>
    </row>
    <row r="548" customFormat="false" ht="15" hidden="false" customHeight="false" outlineLevel="0" collapsed="false">
      <c r="A548" s="0" t="s">
        <v>1299</v>
      </c>
      <c r="B548" s="0" t="s">
        <v>1300</v>
      </c>
      <c r="C548" s="0" t="s">
        <v>523</v>
      </c>
      <c r="D548" s="0" t="s">
        <v>109</v>
      </c>
      <c r="E548" s="0" t="s">
        <v>253</v>
      </c>
      <c r="F548" s="0" t="s">
        <v>53</v>
      </c>
      <c r="G548" s="0" t="n">
        <v>1011946</v>
      </c>
      <c r="H548" s="0" t="n">
        <v>30668</v>
      </c>
      <c r="I548" s="0" t="n">
        <v>7057</v>
      </c>
      <c r="J548" s="0" t="n">
        <v>56.2</v>
      </c>
      <c r="K548" s="0" t="n">
        <v>21</v>
      </c>
      <c r="L548" s="0" t="n">
        <v>468</v>
      </c>
      <c r="M548" s="0" t="s">
        <v>54</v>
      </c>
      <c r="N548" s="0" t="s">
        <v>21</v>
      </c>
    </row>
    <row r="549" customFormat="false" ht="15" hidden="false" customHeight="false" outlineLevel="0" collapsed="false">
      <c r="A549" s="0" t="s">
        <v>1301</v>
      </c>
      <c r="B549" s="0" t="s">
        <v>1302</v>
      </c>
      <c r="C549" s="0" t="s">
        <v>70</v>
      </c>
      <c r="D549" s="0" t="s">
        <v>39</v>
      </c>
      <c r="E549" s="0" t="s">
        <v>368</v>
      </c>
      <c r="F549" s="0" t="s">
        <v>288</v>
      </c>
      <c r="G549" s="0" t="n">
        <v>2899984</v>
      </c>
      <c r="H549" s="0" t="n">
        <v>135489</v>
      </c>
      <c r="I549" s="0" t="n">
        <v>40543</v>
      </c>
      <c r="J549" s="0" t="n">
        <v>38.7</v>
      </c>
      <c r="K549" s="0" t="n">
        <v>17</v>
      </c>
      <c r="L549" s="0" t="n">
        <v>644</v>
      </c>
      <c r="M549" s="0" t="s">
        <v>20</v>
      </c>
      <c r="N549" s="0" t="s">
        <v>55</v>
      </c>
    </row>
    <row r="550" customFormat="false" ht="15" hidden="false" customHeight="false" outlineLevel="0" collapsed="false">
      <c r="A550" s="0" t="s">
        <v>1303</v>
      </c>
      <c r="B550" s="0" t="s">
        <v>268</v>
      </c>
      <c r="C550" s="0" t="s">
        <v>486</v>
      </c>
      <c r="D550" s="0" t="s">
        <v>25</v>
      </c>
      <c r="E550" s="0" t="s">
        <v>279</v>
      </c>
      <c r="F550" s="0" t="s">
        <v>18</v>
      </c>
      <c r="G550" s="0" t="n">
        <v>4195041</v>
      </c>
      <c r="H550" s="0" t="n">
        <v>119165</v>
      </c>
      <c r="I550" s="0" t="n">
        <v>28420</v>
      </c>
      <c r="J550" s="0" t="n">
        <v>32.1</v>
      </c>
      <c r="K550" s="0" t="n">
        <v>12</v>
      </c>
      <c r="L550" s="0" t="n">
        <v>619</v>
      </c>
      <c r="M550" s="0" t="s">
        <v>35</v>
      </c>
      <c r="N550" s="0" t="s">
        <v>122</v>
      </c>
    </row>
    <row r="551" customFormat="false" ht="15" hidden="false" customHeight="false" outlineLevel="0" collapsed="false">
      <c r="A551" s="0" t="s">
        <v>1304</v>
      </c>
      <c r="B551" s="0" t="s">
        <v>1276</v>
      </c>
      <c r="C551" s="0" t="s">
        <v>689</v>
      </c>
      <c r="D551" s="0" t="s">
        <v>59</v>
      </c>
      <c r="E551" s="0" t="s">
        <v>314</v>
      </c>
      <c r="F551" s="0" t="s">
        <v>248</v>
      </c>
      <c r="G551" s="0" t="n">
        <v>2339596</v>
      </c>
      <c r="H551" s="0" t="n">
        <v>101217</v>
      </c>
      <c r="I551" s="0" t="n">
        <v>30936</v>
      </c>
      <c r="J551" s="0" t="n">
        <v>25.5</v>
      </c>
      <c r="K551" s="0" t="n">
        <v>17</v>
      </c>
      <c r="L551" s="0" t="n">
        <v>697</v>
      </c>
      <c r="M551" s="0" t="s">
        <v>20</v>
      </c>
      <c r="N551" s="0" t="s">
        <v>74</v>
      </c>
    </row>
    <row r="552" customFormat="false" ht="15" hidden="false" customHeight="false" outlineLevel="0" collapsed="false">
      <c r="A552" s="0" t="s">
        <v>1305</v>
      </c>
      <c r="B552" s="0" t="s">
        <v>447</v>
      </c>
      <c r="C552" s="0" t="s">
        <v>1158</v>
      </c>
      <c r="D552" s="0" t="s">
        <v>65</v>
      </c>
      <c r="E552" s="0" t="s">
        <v>379</v>
      </c>
      <c r="F552" s="0" t="s">
        <v>339</v>
      </c>
      <c r="G552" s="0" t="n">
        <v>1796941</v>
      </c>
      <c r="H552" s="0" t="n">
        <v>69609</v>
      </c>
      <c r="I552" s="0" t="n">
        <v>20607</v>
      </c>
      <c r="J552" s="0" t="n">
        <v>3.7</v>
      </c>
      <c r="K552" s="0" t="n">
        <v>20</v>
      </c>
      <c r="L552" s="0" t="n">
        <v>209</v>
      </c>
      <c r="M552" s="0" t="s">
        <v>20</v>
      </c>
      <c r="N552" s="0" t="s">
        <v>67</v>
      </c>
    </row>
    <row r="553" customFormat="false" ht="15" hidden="false" customHeight="false" outlineLevel="0" collapsed="false">
      <c r="A553" s="0" t="s">
        <v>1306</v>
      </c>
      <c r="B553" s="0" t="s">
        <v>1307</v>
      </c>
      <c r="C553" s="0" t="s">
        <v>317</v>
      </c>
      <c r="D553" s="0" t="s">
        <v>32</v>
      </c>
      <c r="E553" s="0" t="s">
        <v>164</v>
      </c>
      <c r="F553" s="0" t="s">
        <v>321</v>
      </c>
      <c r="G553" s="0" t="n">
        <v>2666162</v>
      </c>
      <c r="H553" s="0" t="n">
        <v>100877</v>
      </c>
      <c r="I553" s="0" t="n">
        <v>24230</v>
      </c>
      <c r="J553" s="0" t="n">
        <v>35.6</v>
      </c>
      <c r="K553" s="0" t="n">
        <v>16</v>
      </c>
      <c r="L553" s="0" t="n">
        <v>515</v>
      </c>
      <c r="M553" s="0" t="s">
        <v>20</v>
      </c>
      <c r="N553" s="0" t="s">
        <v>81</v>
      </c>
    </row>
    <row r="554" customFormat="false" ht="15" hidden="false" customHeight="false" outlineLevel="0" collapsed="false">
      <c r="A554" s="0" t="s">
        <v>1308</v>
      </c>
      <c r="B554" s="0" t="s">
        <v>1309</v>
      </c>
      <c r="C554" s="0" t="s">
        <v>417</v>
      </c>
      <c r="D554" s="0" t="s">
        <v>46</v>
      </c>
      <c r="E554" s="0" t="s">
        <v>389</v>
      </c>
      <c r="F554" s="0" t="s">
        <v>393</v>
      </c>
      <c r="G554" s="0" t="n">
        <v>1607636</v>
      </c>
      <c r="H554" s="0" t="n">
        <v>52769</v>
      </c>
      <c r="I554" s="0" t="n">
        <v>12509</v>
      </c>
      <c r="J554" s="0" t="n">
        <v>56.2</v>
      </c>
      <c r="K554" s="0" t="n">
        <v>10</v>
      </c>
      <c r="L554" s="0" t="n">
        <v>304</v>
      </c>
      <c r="M554" s="0" t="s">
        <v>20</v>
      </c>
      <c r="N554" s="0" t="s">
        <v>55</v>
      </c>
    </row>
    <row r="555" customFormat="false" ht="15" hidden="false" customHeight="false" outlineLevel="0" collapsed="false">
      <c r="A555" s="0" t="s">
        <v>1310</v>
      </c>
      <c r="B555" s="0" t="s">
        <v>1311</v>
      </c>
      <c r="C555" s="0" t="s">
        <v>492</v>
      </c>
      <c r="D555" s="0" t="s">
        <v>59</v>
      </c>
      <c r="E555" s="0" t="s">
        <v>100</v>
      </c>
      <c r="F555" s="0" t="s">
        <v>79</v>
      </c>
      <c r="G555" s="0" t="n">
        <v>2319345</v>
      </c>
      <c r="H555" s="0" t="n">
        <v>101259</v>
      </c>
      <c r="I555" s="0" t="n">
        <v>27032</v>
      </c>
      <c r="J555" s="0" t="n">
        <v>12.8</v>
      </c>
      <c r="K555" s="0" t="n">
        <v>13</v>
      </c>
      <c r="L555" s="0" t="n">
        <v>600</v>
      </c>
      <c r="M555" s="0" t="s">
        <v>54</v>
      </c>
      <c r="N555" s="0" t="s">
        <v>42</v>
      </c>
    </row>
    <row r="556" customFormat="false" ht="15" hidden="false" customHeight="false" outlineLevel="0" collapsed="false">
      <c r="A556" s="0" t="s">
        <v>1312</v>
      </c>
      <c r="B556" s="0" t="s">
        <v>1313</v>
      </c>
      <c r="C556" s="0" t="s">
        <v>706</v>
      </c>
      <c r="D556" s="0" t="s">
        <v>39</v>
      </c>
      <c r="E556" s="0" t="s">
        <v>495</v>
      </c>
      <c r="F556" s="0" t="s">
        <v>209</v>
      </c>
      <c r="G556" s="0" t="n">
        <v>1898904</v>
      </c>
      <c r="H556" s="0" t="n">
        <v>97710</v>
      </c>
      <c r="I556" s="0" t="n">
        <v>22706</v>
      </c>
      <c r="J556" s="0" t="n">
        <v>53.3</v>
      </c>
      <c r="K556" s="0" t="n">
        <v>22</v>
      </c>
      <c r="L556" s="0" t="n">
        <v>689</v>
      </c>
      <c r="M556" s="0" t="s">
        <v>54</v>
      </c>
      <c r="N556" s="0" t="s">
        <v>55</v>
      </c>
    </row>
    <row r="557" customFormat="false" ht="15" hidden="false" customHeight="false" outlineLevel="0" collapsed="false">
      <c r="A557" s="0" t="s">
        <v>1314</v>
      </c>
      <c r="B557" s="0" t="s">
        <v>1315</v>
      </c>
      <c r="C557" s="0" t="s">
        <v>1176</v>
      </c>
      <c r="D557" s="0" t="s">
        <v>144</v>
      </c>
      <c r="E557" s="0" t="s">
        <v>552</v>
      </c>
      <c r="F557" s="0" t="s">
        <v>435</v>
      </c>
      <c r="G557" s="0" t="n">
        <v>1768540</v>
      </c>
      <c r="H557" s="0" t="n">
        <v>47255</v>
      </c>
      <c r="I557" s="0" t="n">
        <v>14806</v>
      </c>
      <c r="J557" s="0" t="n">
        <v>21.8</v>
      </c>
      <c r="K557" s="0" t="n">
        <v>12</v>
      </c>
      <c r="L557" s="0" t="n">
        <v>248</v>
      </c>
      <c r="M557" s="0" t="s">
        <v>54</v>
      </c>
      <c r="N557" s="0" t="s">
        <v>96</v>
      </c>
    </row>
    <row r="558" customFormat="false" ht="15" hidden="false" customHeight="false" outlineLevel="0" collapsed="false">
      <c r="A558" s="0" t="s">
        <v>1316</v>
      </c>
      <c r="B558" s="0" t="s">
        <v>1317</v>
      </c>
      <c r="C558" s="0" t="s">
        <v>947</v>
      </c>
      <c r="D558" s="0" t="s">
        <v>78</v>
      </c>
      <c r="E558" s="0" t="s">
        <v>229</v>
      </c>
      <c r="F558" s="0" t="s">
        <v>224</v>
      </c>
      <c r="G558" s="0" t="n">
        <v>5435640</v>
      </c>
      <c r="H558" s="0" t="n">
        <v>185866</v>
      </c>
      <c r="I558" s="0" t="n">
        <v>53096</v>
      </c>
      <c r="J558" s="0" t="n">
        <v>14.7</v>
      </c>
      <c r="K558" s="0" t="n">
        <v>7</v>
      </c>
      <c r="L558" s="0" t="n">
        <v>569</v>
      </c>
      <c r="M558" s="0" t="s">
        <v>54</v>
      </c>
      <c r="N558" s="0" t="s">
        <v>21</v>
      </c>
    </row>
    <row r="559" customFormat="false" ht="15" hidden="false" customHeight="false" outlineLevel="0" collapsed="false">
      <c r="A559" s="0" t="s">
        <v>1318</v>
      </c>
      <c r="B559" s="0" t="s">
        <v>1319</v>
      </c>
      <c r="C559" s="0" t="s">
        <v>486</v>
      </c>
      <c r="D559" s="0" t="s">
        <v>71</v>
      </c>
      <c r="E559" s="0" t="s">
        <v>284</v>
      </c>
      <c r="F559" s="0" t="s">
        <v>289</v>
      </c>
      <c r="G559" s="0" t="n">
        <v>1019157</v>
      </c>
      <c r="H559" s="0" t="n">
        <v>24477</v>
      </c>
      <c r="I559" s="0" t="n">
        <v>7699</v>
      </c>
      <c r="J559" s="0" t="n">
        <v>13.6</v>
      </c>
      <c r="K559" s="0" t="n">
        <v>20</v>
      </c>
      <c r="L559" s="0" t="n">
        <v>381</v>
      </c>
      <c r="M559" s="0" t="s">
        <v>20</v>
      </c>
      <c r="N559" s="0" t="s">
        <v>28</v>
      </c>
    </row>
    <row r="560" customFormat="false" ht="15" hidden="false" customHeight="false" outlineLevel="0" collapsed="false">
      <c r="A560" s="0" t="s">
        <v>1320</v>
      </c>
      <c r="B560" s="0" t="s">
        <v>1321</v>
      </c>
      <c r="C560" s="0" t="s">
        <v>510</v>
      </c>
      <c r="D560" s="0" t="s">
        <v>71</v>
      </c>
      <c r="E560" s="0" t="s">
        <v>558</v>
      </c>
      <c r="F560" s="0" t="s">
        <v>299</v>
      </c>
      <c r="G560" s="0" t="n">
        <v>1136562</v>
      </c>
      <c r="H560" s="0" t="n">
        <v>29225</v>
      </c>
      <c r="I560" s="0" t="n">
        <v>10303</v>
      </c>
      <c r="J560" s="0" t="n">
        <v>42.9</v>
      </c>
      <c r="K560" s="0" t="n">
        <v>24</v>
      </c>
      <c r="L560" s="0" t="n">
        <v>594</v>
      </c>
      <c r="M560" s="0" t="s">
        <v>20</v>
      </c>
      <c r="N560" s="0" t="s">
        <v>81</v>
      </c>
    </row>
    <row r="561" customFormat="false" ht="15" hidden="false" customHeight="false" outlineLevel="0" collapsed="false">
      <c r="A561" s="0" t="s">
        <v>1322</v>
      </c>
      <c r="B561" s="0" t="s">
        <v>1323</v>
      </c>
      <c r="C561" s="0" t="s">
        <v>143</v>
      </c>
      <c r="D561" s="0" t="s">
        <v>17</v>
      </c>
      <c r="E561" s="0" t="s">
        <v>72</v>
      </c>
      <c r="F561" s="0" t="s">
        <v>125</v>
      </c>
      <c r="G561" s="0" t="n">
        <v>2556401</v>
      </c>
      <c r="H561" s="0" t="n">
        <v>56562</v>
      </c>
      <c r="I561" s="0" t="n">
        <v>13771</v>
      </c>
      <c r="J561" s="0" t="n">
        <v>22</v>
      </c>
      <c r="K561" s="0" t="n">
        <v>18</v>
      </c>
      <c r="L561" s="0" t="n">
        <v>258</v>
      </c>
      <c r="M561" s="0" t="s">
        <v>35</v>
      </c>
      <c r="N561" s="0" t="s">
        <v>102</v>
      </c>
    </row>
    <row r="562" customFormat="false" ht="15" hidden="false" customHeight="false" outlineLevel="0" collapsed="false">
      <c r="A562" s="0" t="s">
        <v>1324</v>
      </c>
      <c r="B562" s="0" t="s">
        <v>908</v>
      </c>
      <c r="C562" s="0" t="s">
        <v>913</v>
      </c>
      <c r="D562" s="0" t="s">
        <v>109</v>
      </c>
      <c r="E562" s="0" t="s">
        <v>101</v>
      </c>
      <c r="F562" s="0" t="s">
        <v>558</v>
      </c>
      <c r="G562" s="0" t="n">
        <v>1168846</v>
      </c>
      <c r="H562" s="0" t="n">
        <v>28429</v>
      </c>
      <c r="I562" s="0" t="n">
        <v>9961</v>
      </c>
      <c r="J562" s="0" t="n">
        <v>6</v>
      </c>
      <c r="K562" s="0" t="n">
        <v>22</v>
      </c>
      <c r="L562" s="0" t="n">
        <v>467</v>
      </c>
      <c r="M562" s="0" t="s">
        <v>20</v>
      </c>
      <c r="N562" s="0" t="s">
        <v>122</v>
      </c>
    </row>
    <row r="563" customFormat="false" ht="15" hidden="false" customHeight="false" outlineLevel="0" collapsed="false">
      <c r="A563" s="0" t="s">
        <v>1325</v>
      </c>
      <c r="B563" s="0" t="s">
        <v>509</v>
      </c>
      <c r="C563" s="0" t="s">
        <v>350</v>
      </c>
      <c r="D563" s="0" t="s">
        <v>32</v>
      </c>
      <c r="E563" s="0" t="s">
        <v>85</v>
      </c>
      <c r="F563" s="0" t="s">
        <v>321</v>
      </c>
      <c r="G563" s="0" t="n">
        <v>4151347</v>
      </c>
      <c r="H563" s="0" t="n">
        <v>132403</v>
      </c>
      <c r="I563" s="0" t="n">
        <v>41419</v>
      </c>
      <c r="J563" s="0" t="n">
        <v>53.3</v>
      </c>
      <c r="K563" s="0" t="n">
        <v>25</v>
      </c>
      <c r="L563" s="0" t="n">
        <v>594</v>
      </c>
      <c r="M563" s="0" t="s">
        <v>20</v>
      </c>
      <c r="N563" s="0" t="s">
        <v>28</v>
      </c>
    </row>
    <row r="564" customFormat="false" ht="15" hidden="false" customHeight="false" outlineLevel="0" collapsed="false">
      <c r="A564" s="0" t="s">
        <v>1326</v>
      </c>
      <c r="B564" s="0" t="s">
        <v>1327</v>
      </c>
      <c r="C564" s="0" t="s">
        <v>583</v>
      </c>
      <c r="D564" s="0" t="s">
        <v>65</v>
      </c>
      <c r="E564" s="0" t="s">
        <v>393</v>
      </c>
      <c r="F564" s="0" t="s">
        <v>552</v>
      </c>
      <c r="G564" s="0" t="n">
        <v>2405888</v>
      </c>
      <c r="H564" s="0" t="n">
        <v>70493</v>
      </c>
      <c r="I564" s="0" t="n">
        <v>16178</v>
      </c>
      <c r="J564" s="0" t="n">
        <v>36.4</v>
      </c>
      <c r="K564" s="0" t="n">
        <v>13</v>
      </c>
      <c r="L564" s="0" t="n">
        <v>689</v>
      </c>
      <c r="M564" s="0" t="s">
        <v>54</v>
      </c>
      <c r="N564" s="0" t="s">
        <v>102</v>
      </c>
    </row>
    <row r="565" customFormat="false" ht="15" hidden="false" customHeight="false" outlineLevel="0" collapsed="false">
      <c r="A565" s="0" t="s">
        <v>1328</v>
      </c>
      <c r="B565" s="0" t="s">
        <v>1329</v>
      </c>
      <c r="C565" s="0" t="s">
        <v>152</v>
      </c>
      <c r="D565" s="0" t="s">
        <v>46</v>
      </c>
      <c r="E565" s="0" t="s">
        <v>306</v>
      </c>
      <c r="F565" s="0" t="s">
        <v>163</v>
      </c>
      <c r="G565" s="0" t="n">
        <v>2383918</v>
      </c>
      <c r="H565" s="0" t="n">
        <v>58788</v>
      </c>
      <c r="I565" s="0" t="n">
        <v>13694</v>
      </c>
      <c r="J565" s="0" t="n">
        <v>5.8</v>
      </c>
      <c r="K565" s="0" t="n">
        <v>25</v>
      </c>
      <c r="L565" s="0" t="n">
        <v>646</v>
      </c>
      <c r="M565" s="0" t="s">
        <v>35</v>
      </c>
      <c r="N565" s="0" t="s">
        <v>96</v>
      </c>
    </row>
    <row r="566" customFormat="false" ht="15" hidden="false" customHeight="false" outlineLevel="0" collapsed="false">
      <c r="A566" s="0" t="s">
        <v>1330</v>
      </c>
      <c r="B566" s="0" t="s">
        <v>1268</v>
      </c>
      <c r="C566" s="0" t="s">
        <v>824</v>
      </c>
      <c r="D566" s="0" t="s">
        <v>109</v>
      </c>
      <c r="E566" s="0" t="s">
        <v>418</v>
      </c>
      <c r="F566" s="0" t="s">
        <v>126</v>
      </c>
      <c r="G566" s="0" t="n">
        <v>1277845</v>
      </c>
      <c r="H566" s="0" t="n">
        <v>35507</v>
      </c>
      <c r="I566" s="0" t="n">
        <v>10823</v>
      </c>
      <c r="J566" s="0" t="n">
        <v>22.4</v>
      </c>
      <c r="K566" s="0" t="n">
        <v>9</v>
      </c>
      <c r="L566" s="0" t="n">
        <v>556</v>
      </c>
      <c r="M566" s="0" t="s">
        <v>54</v>
      </c>
      <c r="N566" s="0" t="s">
        <v>122</v>
      </c>
    </row>
    <row r="567" customFormat="false" ht="15" hidden="false" customHeight="false" outlineLevel="0" collapsed="false">
      <c r="A567" s="0" t="s">
        <v>1331</v>
      </c>
      <c r="B567" s="0" t="s">
        <v>1185</v>
      </c>
      <c r="C567" s="0" t="s">
        <v>696</v>
      </c>
      <c r="D567" s="0" t="s">
        <v>78</v>
      </c>
      <c r="E567" s="0" t="s">
        <v>495</v>
      </c>
      <c r="F567" s="0" t="s">
        <v>457</v>
      </c>
      <c r="G567" s="0" t="n">
        <v>2487565</v>
      </c>
      <c r="H567" s="0" t="n">
        <v>85964</v>
      </c>
      <c r="I567" s="0" t="n">
        <v>27265</v>
      </c>
      <c r="J567" s="0" t="n">
        <v>28.5</v>
      </c>
      <c r="K567" s="0" t="n">
        <v>9</v>
      </c>
      <c r="L567" s="0" t="n">
        <v>522</v>
      </c>
      <c r="M567" s="0" t="s">
        <v>54</v>
      </c>
      <c r="N567" s="0" t="s">
        <v>67</v>
      </c>
    </row>
    <row r="568" customFormat="false" ht="15" hidden="false" customHeight="false" outlineLevel="0" collapsed="false">
      <c r="A568" s="0" t="s">
        <v>1332</v>
      </c>
      <c r="B568" s="0" t="s">
        <v>1146</v>
      </c>
      <c r="C568" s="0" t="s">
        <v>406</v>
      </c>
      <c r="D568" s="0" t="s">
        <v>65</v>
      </c>
      <c r="E568" s="0" t="s">
        <v>279</v>
      </c>
      <c r="F568" s="0" t="s">
        <v>18</v>
      </c>
      <c r="G568" s="0" t="n">
        <v>1314787</v>
      </c>
      <c r="H568" s="0" t="n">
        <v>38236</v>
      </c>
      <c r="I568" s="0" t="n">
        <v>8590</v>
      </c>
      <c r="J568" s="0" t="n">
        <v>42.7</v>
      </c>
      <c r="K568" s="0" t="n">
        <v>6</v>
      </c>
      <c r="L568" s="0" t="n">
        <v>429</v>
      </c>
      <c r="M568" s="0" t="s">
        <v>20</v>
      </c>
      <c r="N568" s="0" t="s">
        <v>140</v>
      </c>
    </row>
    <row r="569" customFormat="false" ht="15" hidden="false" customHeight="false" outlineLevel="0" collapsed="false">
      <c r="A569" s="0" t="s">
        <v>1333</v>
      </c>
      <c r="B569" s="0" t="s">
        <v>1334</v>
      </c>
      <c r="C569" s="0" t="s">
        <v>597</v>
      </c>
      <c r="D569" s="0" t="s">
        <v>78</v>
      </c>
      <c r="E569" s="0" t="s">
        <v>85</v>
      </c>
      <c r="F569" s="0" t="s">
        <v>168</v>
      </c>
      <c r="G569" s="0" t="n">
        <v>4056918</v>
      </c>
      <c r="H569" s="0" t="n">
        <v>153524</v>
      </c>
      <c r="I569" s="0" t="n">
        <v>36131</v>
      </c>
      <c r="J569" s="0" t="n">
        <v>53.4</v>
      </c>
      <c r="K569" s="0" t="n">
        <v>13</v>
      </c>
      <c r="L569" s="0" t="n">
        <v>276</v>
      </c>
      <c r="M569" s="0" t="s">
        <v>20</v>
      </c>
      <c r="N569" s="0" t="s">
        <v>122</v>
      </c>
    </row>
    <row r="570" customFormat="false" ht="15" hidden="false" customHeight="false" outlineLevel="0" collapsed="false">
      <c r="A570" s="0" t="s">
        <v>1335</v>
      </c>
      <c r="B570" s="0" t="s">
        <v>534</v>
      </c>
      <c r="C570" s="0" t="s">
        <v>301</v>
      </c>
      <c r="D570" s="0" t="s">
        <v>144</v>
      </c>
      <c r="E570" s="0" t="s">
        <v>94</v>
      </c>
      <c r="F570" s="0" t="s">
        <v>95</v>
      </c>
      <c r="G570" s="0" t="n">
        <v>2220523</v>
      </c>
      <c r="H570" s="0" t="n">
        <v>48213</v>
      </c>
      <c r="I570" s="0" t="n">
        <v>12463</v>
      </c>
      <c r="J570" s="0" t="n">
        <v>41</v>
      </c>
      <c r="K570" s="0" t="n">
        <v>14</v>
      </c>
      <c r="L570" s="0" t="n">
        <v>788</v>
      </c>
      <c r="M570" s="0" t="s">
        <v>35</v>
      </c>
      <c r="N570" s="0" t="s">
        <v>74</v>
      </c>
    </row>
    <row r="571" customFormat="false" ht="15" hidden="false" customHeight="false" outlineLevel="0" collapsed="false">
      <c r="A571" s="0" t="s">
        <v>1336</v>
      </c>
      <c r="B571" s="0" t="s">
        <v>1337</v>
      </c>
      <c r="C571" s="0" t="s">
        <v>478</v>
      </c>
      <c r="D571" s="0" t="s">
        <v>144</v>
      </c>
      <c r="E571" s="0" t="s">
        <v>302</v>
      </c>
      <c r="F571" s="0" t="s">
        <v>90</v>
      </c>
      <c r="G571" s="0" t="n">
        <v>2646524</v>
      </c>
      <c r="H571" s="0" t="n">
        <v>61633</v>
      </c>
      <c r="I571" s="0" t="n">
        <v>14195</v>
      </c>
      <c r="J571" s="0" t="n">
        <v>13.9</v>
      </c>
      <c r="K571" s="0" t="n">
        <v>6</v>
      </c>
      <c r="L571" s="0" t="n">
        <v>754</v>
      </c>
      <c r="M571" s="0" t="s">
        <v>54</v>
      </c>
      <c r="N571" s="0" t="s">
        <v>67</v>
      </c>
    </row>
    <row r="572" customFormat="false" ht="15" hidden="false" customHeight="false" outlineLevel="0" collapsed="false">
      <c r="A572" s="0" t="s">
        <v>1338</v>
      </c>
      <c r="B572" s="0" t="s">
        <v>658</v>
      </c>
      <c r="C572" s="0" t="s">
        <v>944</v>
      </c>
      <c r="D572" s="0" t="s">
        <v>46</v>
      </c>
      <c r="E572" s="0" t="s">
        <v>209</v>
      </c>
      <c r="F572" s="0" t="s">
        <v>648</v>
      </c>
      <c r="G572" s="0" t="n">
        <v>2820382</v>
      </c>
      <c r="H572" s="0" t="n">
        <v>88847</v>
      </c>
      <c r="I572" s="0" t="n">
        <v>22604</v>
      </c>
      <c r="J572" s="0" t="n">
        <v>56.1</v>
      </c>
      <c r="K572" s="0" t="n">
        <v>13</v>
      </c>
      <c r="L572" s="0" t="n">
        <v>387</v>
      </c>
      <c r="M572" s="0" t="s">
        <v>20</v>
      </c>
      <c r="N572" s="0" t="s">
        <v>42</v>
      </c>
    </row>
    <row r="573" customFormat="false" ht="15" hidden="false" customHeight="false" outlineLevel="0" collapsed="false">
      <c r="A573" s="0" t="s">
        <v>1339</v>
      </c>
      <c r="B573" s="0" t="s">
        <v>974</v>
      </c>
      <c r="C573" s="0" t="s">
        <v>105</v>
      </c>
      <c r="D573" s="0" t="s">
        <v>32</v>
      </c>
      <c r="E573" s="0" t="s">
        <v>248</v>
      </c>
      <c r="F573" s="0" t="s">
        <v>552</v>
      </c>
      <c r="G573" s="0" t="n">
        <v>6115608</v>
      </c>
      <c r="H573" s="0" t="n">
        <v>306200</v>
      </c>
      <c r="I573" s="0" t="n">
        <v>87290</v>
      </c>
      <c r="J573" s="0" t="n">
        <v>15.4</v>
      </c>
      <c r="K573" s="0" t="n">
        <v>13</v>
      </c>
      <c r="L573" s="0" t="n">
        <v>445</v>
      </c>
      <c r="M573" s="0" t="s">
        <v>20</v>
      </c>
      <c r="N573" s="0" t="s">
        <v>122</v>
      </c>
    </row>
    <row r="574" customFormat="false" ht="15" hidden="false" customHeight="false" outlineLevel="0" collapsed="false">
      <c r="A574" s="0" t="s">
        <v>1340</v>
      </c>
      <c r="B574" s="0" t="s">
        <v>1341</v>
      </c>
      <c r="C574" s="0" t="s">
        <v>500</v>
      </c>
      <c r="D574" s="0" t="s">
        <v>89</v>
      </c>
      <c r="E574" s="0" t="s">
        <v>495</v>
      </c>
      <c r="F574" s="0" t="s">
        <v>145</v>
      </c>
      <c r="G574" s="0" t="n">
        <v>1523130</v>
      </c>
      <c r="H574" s="0" t="n">
        <v>44894</v>
      </c>
      <c r="I574" s="0" t="n">
        <v>16043</v>
      </c>
      <c r="J574" s="0" t="n">
        <v>55.6</v>
      </c>
      <c r="K574" s="0" t="n">
        <v>14</v>
      </c>
      <c r="L574" s="0" t="n">
        <v>432</v>
      </c>
      <c r="M574" s="0" t="s">
        <v>20</v>
      </c>
      <c r="N574" s="0" t="s">
        <v>28</v>
      </c>
    </row>
    <row r="575" customFormat="false" ht="15" hidden="false" customHeight="false" outlineLevel="0" collapsed="false">
      <c r="A575" s="0" t="s">
        <v>1342</v>
      </c>
      <c r="B575" s="0" t="s">
        <v>1329</v>
      </c>
      <c r="C575" s="0" t="s">
        <v>320</v>
      </c>
      <c r="D575" s="0" t="s">
        <v>17</v>
      </c>
      <c r="E575" s="0" t="s">
        <v>472</v>
      </c>
      <c r="F575" s="0" t="s">
        <v>95</v>
      </c>
      <c r="G575" s="0" t="n">
        <v>2179773</v>
      </c>
      <c r="H575" s="0" t="n">
        <v>48522</v>
      </c>
      <c r="I575" s="0" t="n">
        <v>15812</v>
      </c>
      <c r="J575" s="0" t="n">
        <v>19.7</v>
      </c>
      <c r="K575" s="0" t="n">
        <v>21</v>
      </c>
      <c r="L575" s="0" t="n">
        <v>475</v>
      </c>
      <c r="M575" s="0" t="s">
        <v>54</v>
      </c>
      <c r="N575" s="0" t="s">
        <v>42</v>
      </c>
    </row>
    <row r="576" customFormat="false" ht="15" hidden="false" customHeight="false" outlineLevel="0" collapsed="false">
      <c r="A576" s="0" t="s">
        <v>1343</v>
      </c>
      <c r="B576" s="0" t="s">
        <v>791</v>
      </c>
      <c r="C576" s="0" t="s">
        <v>483</v>
      </c>
      <c r="D576" s="0" t="s">
        <v>71</v>
      </c>
      <c r="E576" s="0" t="s">
        <v>310</v>
      </c>
      <c r="F576" s="0" t="s">
        <v>418</v>
      </c>
      <c r="G576" s="0" t="n">
        <v>946827</v>
      </c>
      <c r="H576" s="0" t="n">
        <v>20895</v>
      </c>
      <c r="I576" s="0" t="n">
        <v>5823</v>
      </c>
      <c r="J576" s="0" t="n">
        <v>8.2</v>
      </c>
      <c r="K576" s="0" t="n">
        <v>18</v>
      </c>
      <c r="L576" s="0" t="n">
        <v>391</v>
      </c>
      <c r="M576" s="0" t="s">
        <v>54</v>
      </c>
      <c r="N576" s="0" t="s">
        <v>102</v>
      </c>
    </row>
    <row r="577" customFormat="false" ht="15" hidden="false" customHeight="false" outlineLevel="0" collapsed="false">
      <c r="A577" s="0" t="s">
        <v>1344</v>
      </c>
      <c r="B577" s="0" t="s">
        <v>566</v>
      </c>
      <c r="C577" s="0" t="s">
        <v>701</v>
      </c>
      <c r="D577" s="0" t="s">
        <v>25</v>
      </c>
      <c r="E577" s="0" t="s">
        <v>139</v>
      </c>
      <c r="F577" s="0" t="s">
        <v>544</v>
      </c>
      <c r="G577" s="0" t="n">
        <v>3387186</v>
      </c>
      <c r="H577" s="0" t="n">
        <v>96170</v>
      </c>
      <c r="I577" s="0" t="n">
        <v>37574</v>
      </c>
      <c r="J577" s="0" t="n">
        <v>42.4</v>
      </c>
      <c r="K577" s="0" t="n">
        <v>5</v>
      </c>
      <c r="L577" s="0" t="n">
        <v>571</v>
      </c>
      <c r="M577" s="0" t="s">
        <v>20</v>
      </c>
      <c r="N577" s="0" t="s">
        <v>122</v>
      </c>
    </row>
    <row r="578" customFormat="false" ht="15" hidden="false" customHeight="false" outlineLevel="0" collapsed="false">
      <c r="A578" s="0" t="s">
        <v>1345</v>
      </c>
      <c r="B578" s="0" t="s">
        <v>1346</v>
      </c>
      <c r="C578" s="0" t="s">
        <v>119</v>
      </c>
      <c r="D578" s="0" t="s">
        <v>144</v>
      </c>
      <c r="E578" s="0" t="s">
        <v>79</v>
      </c>
      <c r="F578" s="0" t="s">
        <v>495</v>
      </c>
      <c r="G578" s="0" t="n">
        <v>2524657</v>
      </c>
      <c r="H578" s="0" t="n">
        <v>48656</v>
      </c>
      <c r="I578" s="0" t="n">
        <v>17013</v>
      </c>
      <c r="J578" s="0" t="n">
        <v>49</v>
      </c>
      <c r="K578" s="0" t="n">
        <v>24</v>
      </c>
      <c r="L578" s="0" t="n">
        <v>664</v>
      </c>
      <c r="M578" s="0" t="s">
        <v>35</v>
      </c>
      <c r="N578" s="0" t="s">
        <v>28</v>
      </c>
    </row>
    <row r="579" customFormat="false" ht="15" hidden="false" customHeight="false" outlineLevel="0" collapsed="false">
      <c r="A579" s="0" t="s">
        <v>1347</v>
      </c>
      <c r="B579" s="0" t="s">
        <v>1348</v>
      </c>
      <c r="C579" s="0" t="s">
        <v>338</v>
      </c>
      <c r="D579" s="0" t="s">
        <v>17</v>
      </c>
      <c r="E579" s="0" t="s">
        <v>159</v>
      </c>
      <c r="F579" s="0" t="s">
        <v>168</v>
      </c>
      <c r="G579" s="0" t="n">
        <v>2966168</v>
      </c>
      <c r="H579" s="0" t="n">
        <v>75035</v>
      </c>
      <c r="I579" s="0" t="n">
        <v>28719</v>
      </c>
      <c r="J579" s="0" t="n">
        <v>36.3</v>
      </c>
      <c r="K579" s="0" t="n">
        <v>13</v>
      </c>
      <c r="L579" s="0" t="n">
        <v>410</v>
      </c>
      <c r="M579" s="0" t="s">
        <v>20</v>
      </c>
      <c r="N579" s="0" t="s">
        <v>42</v>
      </c>
    </row>
    <row r="580" customFormat="false" ht="15" hidden="false" customHeight="false" outlineLevel="0" collapsed="false">
      <c r="A580" s="0" t="s">
        <v>1349</v>
      </c>
      <c r="B580" s="0" t="s">
        <v>775</v>
      </c>
      <c r="C580" s="0" t="s">
        <v>1296</v>
      </c>
      <c r="D580" s="0" t="s">
        <v>89</v>
      </c>
      <c r="E580" s="0" t="s">
        <v>407</v>
      </c>
      <c r="F580" s="0" t="s">
        <v>335</v>
      </c>
      <c r="G580" s="0" t="n">
        <v>1418010</v>
      </c>
      <c r="H580" s="0" t="n">
        <v>36961</v>
      </c>
      <c r="I580" s="0" t="n">
        <v>11903</v>
      </c>
      <c r="J580" s="0" t="n">
        <v>28.5</v>
      </c>
      <c r="K580" s="0" t="n">
        <v>15</v>
      </c>
      <c r="L580" s="0" t="n">
        <v>640</v>
      </c>
      <c r="M580" s="0" t="s">
        <v>20</v>
      </c>
      <c r="N580" s="0" t="s">
        <v>140</v>
      </c>
    </row>
    <row r="581" customFormat="false" ht="15" hidden="false" customHeight="false" outlineLevel="0" collapsed="false">
      <c r="A581" s="0" t="s">
        <v>1350</v>
      </c>
      <c r="B581" s="0" t="s">
        <v>1351</v>
      </c>
      <c r="C581" s="0" t="s">
        <v>471</v>
      </c>
      <c r="D581" s="0" t="s">
        <v>144</v>
      </c>
      <c r="E581" s="0" t="s">
        <v>229</v>
      </c>
      <c r="F581" s="0" t="s">
        <v>244</v>
      </c>
      <c r="G581" s="0" t="n">
        <v>2550743</v>
      </c>
      <c r="H581" s="0" t="n">
        <v>67923</v>
      </c>
      <c r="I581" s="0" t="n">
        <v>22000</v>
      </c>
      <c r="J581" s="0" t="n">
        <v>23.2</v>
      </c>
      <c r="K581" s="0" t="n">
        <v>14</v>
      </c>
      <c r="L581" s="0" t="n">
        <v>678</v>
      </c>
      <c r="M581" s="0" t="s">
        <v>20</v>
      </c>
      <c r="N581" s="0" t="s">
        <v>96</v>
      </c>
    </row>
    <row r="582" customFormat="false" ht="15" hidden="false" customHeight="false" outlineLevel="0" collapsed="false">
      <c r="A582" s="0" t="s">
        <v>1352</v>
      </c>
      <c r="B582" s="0" t="s">
        <v>1353</v>
      </c>
      <c r="C582" s="0" t="s">
        <v>445</v>
      </c>
      <c r="D582" s="0" t="s">
        <v>25</v>
      </c>
      <c r="E582" s="0" t="s">
        <v>487</v>
      </c>
      <c r="F582" s="0" t="s">
        <v>357</v>
      </c>
      <c r="G582" s="0" t="n">
        <v>1722090</v>
      </c>
      <c r="H582" s="0" t="n">
        <v>57834</v>
      </c>
      <c r="I582" s="0" t="n">
        <v>14007</v>
      </c>
      <c r="J582" s="0" t="n">
        <v>55.1</v>
      </c>
      <c r="K582" s="0" t="n">
        <v>24</v>
      </c>
      <c r="L582" s="0" t="n">
        <v>741</v>
      </c>
      <c r="M582" s="0" t="s">
        <v>20</v>
      </c>
      <c r="N582" s="0" t="s">
        <v>28</v>
      </c>
    </row>
    <row r="583" customFormat="false" ht="15" hidden="false" customHeight="false" outlineLevel="0" collapsed="false">
      <c r="A583" s="0" t="s">
        <v>1354</v>
      </c>
      <c r="B583" s="0" t="s">
        <v>1355</v>
      </c>
      <c r="C583" s="0" t="s">
        <v>899</v>
      </c>
      <c r="D583" s="0" t="s">
        <v>39</v>
      </c>
      <c r="E583" s="0" t="s">
        <v>574</v>
      </c>
      <c r="F583" s="0" t="s">
        <v>111</v>
      </c>
      <c r="G583" s="0" t="n">
        <v>3395924</v>
      </c>
      <c r="H583" s="0" t="n">
        <v>174082</v>
      </c>
      <c r="I583" s="0" t="n">
        <v>37624</v>
      </c>
      <c r="J583" s="0" t="n">
        <v>43.5</v>
      </c>
      <c r="K583" s="0" t="n">
        <v>6</v>
      </c>
      <c r="L583" s="0" t="n">
        <v>364</v>
      </c>
      <c r="M583" s="0" t="s">
        <v>54</v>
      </c>
      <c r="N583" s="0" t="s">
        <v>81</v>
      </c>
    </row>
    <row r="584" customFormat="false" ht="15" hidden="false" customHeight="false" outlineLevel="0" collapsed="false">
      <c r="A584" s="0" t="s">
        <v>1356</v>
      </c>
      <c r="B584" s="0" t="s">
        <v>455</v>
      </c>
      <c r="C584" s="0" t="s">
        <v>808</v>
      </c>
      <c r="D584" s="0" t="s">
        <v>46</v>
      </c>
      <c r="E584" s="0" t="s">
        <v>163</v>
      </c>
      <c r="F584" s="0" t="s">
        <v>224</v>
      </c>
      <c r="G584" s="0" t="n">
        <v>2496434</v>
      </c>
      <c r="H584" s="0" t="n">
        <v>76944</v>
      </c>
      <c r="I584" s="0" t="n">
        <v>24372</v>
      </c>
      <c r="J584" s="0" t="n">
        <v>44.1</v>
      </c>
      <c r="K584" s="0" t="n">
        <v>9</v>
      </c>
      <c r="L584" s="0" t="n">
        <v>701</v>
      </c>
      <c r="M584" s="0" t="s">
        <v>35</v>
      </c>
      <c r="N584" s="0" t="s">
        <v>169</v>
      </c>
    </row>
    <row r="585" customFormat="false" ht="15" hidden="false" customHeight="false" outlineLevel="0" collapsed="false">
      <c r="A585" s="0" t="s">
        <v>1357</v>
      </c>
      <c r="B585" s="0" t="s">
        <v>1358</v>
      </c>
      <c r="C585" s="0" t="s">
        <v>827</v>
      </c>
      <c r="D585" s="0" t="s">
        <v>46</v>
      </c>
      <c r="E585" s="0" t="s">
        <v>198</v>
      </c>
      <c r="F585" s="0" t="s">
        <v>393</v>
      </c>
      <c r="G585" s="0" t="n">
        <v>1708541</v>
      </c>
      <c r="H585" s="0" t="n">
        <v>53235</v>
      </c>
      <c r="I585" s="0" t="n">
        <v>13525</v>
      </c>
      <c r="J585" s="0" t="n">
        <v>44</v>
      </c>
      <c r="K585" s="0" t="n">
        <v>25</v>
      </c>
      <c r="L585" s="0" t="n">
        <v>218</v>
      </c>
      <c r="M585" s="0" t="s">
        <v>20</v>
      </c>
      <c r="N585" s="0" t="s">
        <v>102</v>
      </c>
    </row>
    <row r="586" customFormat="false" ht="15" hidden="false" customHeight="false" outlineLevel="0" collapsed="false">
      <c r="A586" s="0" t="s">
        <v>1359</v>
      </c>
      <c r="B586" s="0" t="s">
        <v>1360</v>
      </c>
      <c r="C586" s="0" t="s">
        <v>583</v>
      </c>
      <c r="D586" s="0" t="s">
        <v>78</v>
      </c>
      <c r="E586" s="0" t="s">
        <v>139</v>
      </c>
      <c r="F586" s="0" t="s">
        <v>181</v>
      </c>
      <c r="G586" s="0" t="n">
        <v>5161338</v>
      </c>
      <c r="H586" s="0" t="n">
        <v>205053</v>
      </c>
      <c r="I586" s="0" t="n">
        <v>79036</v>
      </c>
      <c r="J586" s="0" t="n">
        <v>48.6</v>
      </c>
      <c r="K586" s="0" t="n">
        <v>18</v>
      </c>
      <c r="L586" s="0" t="n">
        <v>751</v>
      </c>
      <c r="M586" s="0" t="s">
        <v>20</v>
      </c>
      <c r="N586" s="0" t="s">
        <v>74</v>
      </c>
    </row>
    <row r="587" customFormat="false" ht="15" hidden="false" customHeight="false" outlineLevel="0" collapsed="false">
      <c r="A587" s="0" t="s">
        <v>1361</v>
      </c>
      <c r="B587" s="0" t="s">
        <v>1120</v>
      </c>
      <c r="C587" s="0" t="s">
        <v>1296</v>
      </c>
      <c r="D587" s="0" t="s">
        <v>65</v>
      </c>
      <c r="E587" s="0" t="s">
        <v>269</v>
      </c>
      <c r="F587" s="0" t="s">
        <v>94</v>
      </c>
      <c r="G587" s="0" t="n">
        <v>1631265</v>
      </c>
      <c r="H587" s="0" t="n">
        <v>53201</v>
      </c>
      <c r="I587" s="0" t="n">
        <v>13549</v>
      </c>
      <c r="J587" s="0" t="n">
        <v>29.2</v>
      </c>
      <c r="K587" s="0" t="n">
        <v>13</v>
      </c>
      <c r="L587" s="0" t="n">
        <v>344</v>
      </c>
      <c r="M587" s="0" t="s">
        <v>20</v>
      </c>
      <c r="N587" s="0" t="s">
        <v>42</v>
      </c>
    </row>
    <row r="588" customFormat="false" ht="15" hidden="false" customHeight="false" outlineLevel="0" collapsed="false">
      <c r="A588" s="0" t="s">
        <v>1362</v>
      </c>
      <c r="B588" s="0" t="s">
        <v>1160</v>
      </c>
      <c r="C588" s="0" t="s">
        <v>523</v>
      </c>
      <c r="D588" s="0" t="s">
        <v>71</v>
      </c>
      <c r="E588" s="0" t="s">
        <v>574</v>
      </c>
      <c r="F588" s="0" t="s">
        <v>357</v>
      </c>
      <c r="G588" s="0" t="n">
        <v>918775</v>
      </c>
      <c r="H588" s="0" t="n">
        <v>27129</v>
      </c>
      <c r="I588" s="0" t="n">
        <v>5732</v>
      </c>
      <c r="J588" s="0" t="n">
        <v>25.5</v>
      </c>
      <c r="K588" s="0" t="n">
        <v>14</v>
      </c>
      <c r="L588" s="0" t="n">
        <v>790</v>
      </c>
      <c r="M588" s="0" t="s">
        <v>20</v>
      </c>
      <c r="N588" s="0" t="s">
        <v>28</v>
      </c>
    </row>
    <row r="589" customFormat="false" ht="15" hidden="false" customHeight="false" outlineLevel="0" collapsed="false">
      <c r="A589" s="0" t="s">
        <v>1363</v>
      </c>
      <c r="B589" s="0" t="s">
        <v>1364</v>
      </c>
      <c r="C589" s="0" t="s">
        <v>360</v>
      </c>
      <c r="D589" s="0" t="s">
        <v>46</v>
      </c>
      <c r="E589" s="0" t="s">
        <v>357</v>
      </c>
      <c r="F589" s="0" t="s">
        <v>270</v>
      </c>
      <c r="G589" s="0" t="n">
        <v>2339024</v>
      </c>
      <c r="H589" s="0" t="n">
        <v>60566</v>
      </c>
      <c r="I589" s="0" t="n">
        <v>20124</v>
      </c>
      <c r="J589" s="0" t="n">
        <v>42.5</v>
      </c>
      <c r="K589" s="0" t="n">
        <v>5</v>
      </c>
      <c r="L589" s="0" t="n">
        <v>220</v>
      </c>
      <c r="M589" s="0" t="s">
        <v>54</v>
      </c>
      <c r="N589" s="0" t="s">
        <v>140</v>
      </c>
    </row>
    <row r="590" customFormat="false" ht="15" hidden="false" customHeight="false" outlineLevel="0" collapsed="false">
      <c r="A590" s="0" t="s">
        <v>1365</v>
      </c>
      <c r="B590" s="0" t="s">
        <v>836</v>
      </c>
      <c r="C590" s="0" t="s">
        <v>944</v>
      </c>
      <c r="D590" s="0" t="s">
        <v>32</v>
      </c>
      <c r="E590" s="0" t="s">
        <v>181</v>
      </c>
      <c r="F590" s="0" t="s">
        <v>284</v>
      </c>
      <c r="G590" s="0" t="n">
        <v>6161574</v>
      </c>
      <c r="H590" s="0" t="n">
        <v>214616</v>
      </c>
      <c r="I590" s="0" t="n">
        <v>59440</v>
      </c>
      <c r="J590" s="0" t="n">
        <v>43.3</v>
      </c>
      <c r="K590" s="0" t="n">
        <v>13</v>
      </c>
      <c r="L590" s="0" t="n">
        <v>305</v>
      </c>
      <c r="M590" s="0" t="s">
        <v>54</v>
      </c>
      <c r="N590" s="0" t="s">
        <v>42</v>
      </c>
    </row>
    <row r="591" customFormat="false" ht="15" hidden="false" customHeight="false" outlineLevel="0" collapsed="false">
      <c r="A591" s="0" t="s">
        <v>1366</v>
      </c>
      <c r="B591" s="0" t="s">
        <v>1234</v>
      </c>
      <c r="C591" s="0" t="s">
        <v>827</v>
      </c>
      <c r="D591" s="0" t="s">
        <v>17</v>
      </c>
      <c r="E591" s="0" t="s">
        <v>648</v>
      </c>
      <c r="F591" s="0" t="s">
        <v>204</v>
      </c>
      <c r="G591" s="0" t="n">
        <v>1457477</v>
      </c>
      <c r="H591" s="0" t="n">
        <v>35739</v>
      </c>
      <c r="I591" s="0" t="n">
        <v>10823</v>
      </c>
      <c r="J591" s="0" t="n">
        <v>56.9</v>
      </c>
      <c r="K591" s="0" t="n">
        <v>5</v>
      </c>
      <c r="L591" s="0" t="n">
        <v>536</v>
      </c>
      <c r="M591" s="0" t="s">
        <v>20</v>
      </c>
      <c r="N591" s="0" t="s">
        <v>55</v>
      </c>
    </row>
    <row r="592" customFormat="false" ht="15" hidden="false" customHeight="false" outlineLevel="0" collapsed="false">
      <c r="A592" s="0" t="s">
        <v>1367</v>
      </c>
      <c r="B592" s="0" t="s">
        <v>733</v>
      </c>
      <c r="C592" s="0" t="s">
        <v>247</v>
      </c>
      <c r="D592" s="0" t="s">
        <v>17</v>
      </c>
      <c r="E592" s="0" t="s">
        <v>120</v>
      </c>
      <c r="F592" s="0" t="s">
        <v>52</v>
      </c>
      <c r="G592" s="0" t="n">
        <v>2974340</v>
      </c>
      <c r="H592" s="0" t="n">
        <v>103701</v>
      </c>
      <c r="I592" s="0" t="n">
        <v>31828</v>
      </c>
      <c r="J592" s="0" t="n">
        <v>47.1</v>
      </c>
      <c r="K592" s="0" t="n">
        <v>7</v>
      </c>
      <c r="L592" s="0" t="n">
        <v>183</v>
      </c>
      <c r="M592" s="0" t="s">
        <v>20</v>
      </c>
      <c r="N592" s="0" t="s">
        <v>42</v>
      </c>
    </row>
    <row r="593" customFormat="false" ht="15" hidden="false" customHeight="false" outlineLevel="0" collapsed="false">
      <c r="A593" s="0" t="s">
        <v>1368</v>
      </c>
      <c r="B593" s="0" t="s">
        <v>1369</v>
      </c>
      <c r="C593" s="0" t="s">
        <v>475</v>
      </c>
      <c r="D593" s="0" t="s">
        <v>144</v>
      </c>
      <c r="E593" s="0" t="s">
        <v>425</v>
      </c>
      <c r="F593" s="0" t="s">
        <v>40</v>
      </c>
      <c r="G593" s="0" t="n">
        <v>1467073</v>
      </c>
      <c r="H593" s="0" t="n">
        <v>31781</v>
      </c>
      <c r="I593" s="0" t="n">
        <v>7303</v>
      </c>
      <c r="J593" s="0" t="n">
        <v>17.5</v>
      </c>
      <c r="K593" s="0" t="n">
        <v>21</v>
      </c>
      <c r="L593" s="0" t="n">
        <v>347</v>
      </c>
      <c r="M593" s="0" t="s">
        <v>35</v>
      </c>
      <c r="N593" s="0" t="s">
        <v>81</v>
      </c>
    </row>
    <row r="594" customFormat="false" ht="15" hidden="false" customHeight="false" outlineLevel="0" collapsed="false">
      <c r="A594" s="0" t="s">
        <v>1370</v>
      </c>
      <c r="B594" s="0" t="s">
        <v>1371</v>
      </c>
      <c r="C594" s="0" t="s">
        <v>350</v>
      </c>
      <c r="D594" s="0" t="s">
        <v>65</v>
      </c>
      <c r="E594" s="0" t="s">
        <v>164</v>
      </c>
      <c r="F594" s="0" t="s">
        <v>279</v>
      </c>
      <c r="G594" s="0" t="n">
        <v>2026579</v>
      </c>
      <c r="H594" s="0" t="n">
        <v>64796</v>
      </c>
      <c r="I594" s="0" t="n">
        <v>16291</v>
      </c>
      <c r="J594" s="0" t="n">
        <v>22.7</v>
      </c>
      <c r="K594" s="0" t="n">
        <v>16</v>
      </c>
      <c r="L594" s="0" t="n">
        <v>751</v>
      </c>
      <c r="M594" s="0" t="s">
        <v>20</v>
      </c>
      <c r="N594" s="0" t="s">
        <v>21</v>
      </c>
    </row>
    <row r="595" customFormat="false" ht="15" hidden="false" customHeight="false" outlineLevel="0" collapsed="false">
      <c r="A595" s="0" t="s">
        <v>1372</v>
      </c>
      <c r="B595" s="0" t="s">
        <v>235</v>
      </c>
      <c r="C595" s="0" t="s">
        <v>840</v>
      </c>
      <c r="D595" s="0" t="s">
        <v>78</v>
      </c>
      <c r="E595" s="0" t="s">
        <v>115</v>
      </c>
      <c r="F595" s="0" t="s">
        <v>248</v>
      </c>
      <c r="G595" s="0" t="n">
        <v>3192165</v>
      </c>
      <c r="H595" s="0" t="n">
        <v>128111</v>
      </c>
      <c r="I595" s="0" t="n">
        <v>41382</v>
      </c>
      <c r="J595" s="0" t="n">
        <v>10</v>
      </c>
      <c r="K595" s="0" t="n">
        <v>16</v>
      </c>
      <c r="L595" s="0" t="n">
        <v>793</v>
      </c>
      <c r="M595" s="0" t="s">
        <v>20</v>
      </c>
      <c r="N595" s="0" t="s">
        <v>42</v>
      </c>
    </row>
    <row r="596" customFormat="false" ht="15" hidden="false" customHeight="false" outlineLevel="0" collapsed="false">
      <c r="A596" s="0" t="s">
        <v>1373</v>
      </c>
      <c r="B596" s="0" t="s">
        <v>1374</v>
      </c>
      <c r="C596" s="0" t="s">
        <v>313</v>
      </c>
      <c r="D596" s="0" t="s">
        <v>89</v>
      </c>
      <c r="E596" s="0" t="s">
        <v>229</v>
      </c>
      <c r="F596" s="0" t="s">
        <v>164</v>
      </c>
      <c r="G596" s="0" t="n">
        <v>1222269</v>
      </c>
      <c r="H596" s="0" t="n">
        <v>37667</v>
      </c>
      <c r="I596" s="0" t="n">
        <v>10037</v>
      </c>
      <c r="J596" s="0" t="n">
        <v>30</v>
      </c>
      <c r="K596" s="0" t="n">
        <v>7</v>
      </c>
      <c r="L596" s="0" t="n">
        <v>763</v>
      </c>
      <c r="M596" s="0" t="s">
        <v>54</v>
      </c>
      <c r="N596" s="0" t="s">
        <v>28</v>
      </c>
    </row>
    <row r="597" customFormat="false" ht="15" hidden="false" customHeight="false" outlineLevel="0" collapsed="false">
      <c r="A597" s="0" t="s">
        <v>1375</v>
      </c>
      <c r="B597" s="0" t="s">
        <v>216</v>
      </c>
      <c r="C597" s="0" t="s">
        <v>317</v>
      </c>
      <c r="D597" s="0" t="s">
        <v>78</v>
      </c>
      <c r="E597" s="0" t="s">
        <v>289</v>
      </c>
      <c r="F597" s="0" t="s">
        <v>314</v>
      </c>
      <c r="G597" s="0" t="n">
        <v>3443539</v>
      </c>
      <c r="H597" s="0" t="n">
        <v>112300</v>
      </c>
      <c r="I597" s="0" t="n">
        <v>28171</v>
      </c>
      <c r="J597" s="0" t="n">
        <v>29.2</v>
      </c>
      <c r="K597" s="0" t="n">
        <v>23</v>
      </c>
      <c r="L597" s="0" t="n">
        <v>780</v>
      </c>
      <c r="M597" s="0" t="s">
        <v>35</v>
      </c>
      <c r="N597" s="0" t="s">
        <v>102</v>
      </c>
    </row>
    <row r="598" customFormat="false" ht="15" hidden="false" customHeight="false" outlineLevel="0" collapsed="false">
      <c r="A598" s="0" t="s">
        <v>1376</v>
      </c>
      <c r="B598" s="0" t="s">
        <v>1377</v>
      </c>
      <c r="C598" s="0" t="s">
        <v>367</v>
      </c>
      <c r="D598" s="0" t="s">
        <v>78</v>
      </c>
      <c r="E598" s="0" t="s">
        <v>265</v>
      </c>
      <c r="F598" s="0" t="s">
        <v>266</v>
      </c>
      <c r="G598" s="0" t="n">
        <v>2030614</v>
      </c>
      <c r="H598" s="0" t="n">
        <v>87478</v>
      </c>
      <c r="I598" s="0" t="n">
        <v>26141</v>
      </c>
      <c r="J598" s="0" t="n">
        <v>43.3</v>
      </c>
      <c r="K598" s="0" t="n">
        <v>17</v>
      </c>
      <c r="L598" s="0" t="n">
        <v>468</v>
      </c>
      <c r="M598" s="0" t="s">
        <v>35</v>
      </c>
      <c r="N598" s="0" t="s">
        <v>81</v>
      </c>
    </row>
    <row r="599" customFormat="false" ht="15" hidden="false" customHeight="false" outlineLevel="0" collapsed="false">
      <c r="A599" s="0" t="s">
        <v>1378</v>
      </c>
      <c r="B599" s="0" t="s">
        <v>509</v>
      </c>
      <c r="C599" s="0" t="s">
        <v>572</v>
      </c>
      <c r="D599" s="0" t="s">
        <v>32</v>
      </c>
      <c r="E599" s="0" t="s">
        <v>94</v>
      </c>
      <c r="F599" s="0" t="s">
        <v>40</v>
      </c>
      <c r="G599" s="0" t="n">
        <v>4616753</v>
      </c>
      <c r="H599" s="0" t="n">
        <v>173417</v>
      </c>
      <c r="I599" s="0" t="n">
        <v>61188</v>
      </c>
      <c r="J599" s="0" t="n">
        <v>45.6</v>
      </c>
      <c r="K599" s="0" t="n">
        <v>24</v>
      </c>
      <c r="L599" s="0" t="n">
        <v>324</v>
      </c>
      <c r="M599" s="0" t="s">
        <v>20</v>
      </c>
      <c r="N599" s="0" t="s">
        <v>55</v>
      </c>
    </row>
    <row r="600" customFormat="false" ht="15" hidden="false" customHeight="false" outlineLevel="0" collapsed="false">
      <c r="A600" s="0" t="s">
        <v>1379</v>
      </c>
      <c r="B600" s="0" t="s">
        <v>497</v>
      </c>
      <c r="C600" s="0" t="s">
        <v>167</v>
      </c>
      <c r="D600" s="0" t="s">
        <v>59</v>
      </c>
      <c r="E600" s="0" t="s">
        <v>495</v>
      </c>
      <c r="F600" s="0" t="s">
        <v>145</v>
      </c>
      <c r="G600" s="0" t="n">
        <v>3020361</v>
      </c>
      <c r="H600" s="0" t="n">
        <v>166556</v>
      </c>
      <c r="I600" s="0" t="n">
        <v>51213</v>
      </c>
      <c r="J600" s="0" t="n">
        <v>27.5</v>
      </c>
      <c r="K600" s="0" t="n">
        <v>16</v>
      </c>
      <c r="L600" s="0" t="n">
        <v>286</v>
      </c>
      <c r="M600" s="0" t="s">
        <v>54</v>
      </c>
      <c r="N600" s="0" t="s">
        <v>42</v>
      </c>
    </row>
    <row r="601" customFormat="false" ht="15" hidden="false" customHeight="false" outlineLevel="0" collapsed="false">
      <c r="A601" s="0" t="s">
        <v>1380</v>
      </c>
      <c r="B601" s="0" t="s">
        <v>1381</v>
      </c>
      <c r="C601" s="0" t="s">
        <v>1207</v>
      </c>
      <c r="D601" s="0" t="s">
        <v>65</v>
      </c>
      <c r="E601" s="0" t="s">
        <v>186</v>
      </c>
      <c r="F601" s="0" t="s">
        <v>495</v>
      </c>
      <c r="G601" s="0" t="n">
        <v>1463309</v>
      </c>
      <c r="H601" s="0" t="n">
        <v>36825</v>
      </c>
      <c r="I601" s="0" t="n">
        <v>10316</v>
      </c>
      <c r="J601" s="0" t="n">
        <v>19.9</v>
      </c>
      <c r="K601" s="0" t="n">
        <v>8</v>
      </c>
      <c r="L601" s="0" t="n">
        <v>474</v>
      </c>
      <c r="M601" s="0" t="s">
        <v>54</v>
      </c>
      <c r="N601" s="0" t="s">
        <v>81</v>
      </c>
    </row>
    <row r="602" customFormat="false" ht="15" hidden="false" customHeight="false" outlineLevel="0" collapsed="false">
      <c r="A602" s="0" t="s">
        <v>1382</v>
      </c>
      <c r="B602" s="0" t="s">
        <v>1383</v>
      </c>
      <c r="C602" s="0" t="s">
        <v>952</v>
      </c>
      <c r="D602" s="0" t="s">
        <v>39</v>
      </c>
      <c r="E602" s="0" t="s">
        <v>60</v>
      </c>
      <c r="F602" s="0" t="s">
        <v>273</v>
      </c>
      <c r="G602" s="0" t="n">
        <v>3358552</v>
      </c>
      <c r="H602" s="0" t="n">
        <v>103656</v>
      </c>
      <c r="I602" s="0" t="n">
        <v>28509</v>
      </c>
      <c r="J602" s="0" t="n">
        <v>30.8</v>
      </c>
      <c r="K602" s="0" t="n">
        <v>23</v>
      </c>
      <c r="L602" s="0" t="n">
        <v>575</v>
      </c>
      <c r="M602" s="0" t="s">
        <v>20</v>
      </c>
      <c r="N602" s="0" t="s">
        <v>96</v>
      </c>
    </row>
    <row r="603" customFormat="false" ht="15" hidden="false" customHeight="false" outlineLevel="0" collapsed="false">
      <c r="A603" s="0" t="s">
        <v>1384</v>
      </c>
      <c r="B603" s="0" t="s">
        <v>1385</v>
      </c>
      <c r="C603" s="0" t="s">
        <v>137</v>
      </c>
      <c r="D603" s="0" t="s">
        <v>59</v>
      </c>
      <c r="E603" s="0" t="s">
        <v>586</v>
      </c>
      <c r="F603" s="0" t="s">
        <v>289</v>
      </c>
      <c r="G603" s="0" t="n">
        <v>2290023</v>
      </c>
      <c r="H603" s="0" t="n">
        <v>111457</v>
      </c>
      <c r="I603" s="0" t="n">
        <v>27584</v>
      </c>
      <c r="J603" s="0" t="n">
        <v>6.3</v>
      </c>
      <c r="K603" s="0" t="n">
        <v>18</v>
      </c>
      <c r="L603" s="0" t="n">
        <v>308</v>
      </c>
      <c r="M603" s="0" t="s">
        <v>54</v>
      </c>
      <c r="N603" s="0" t="s">
        <v>140</v>
      </c>
    </row>
    <row r="604" customFormat="false" ht="15" hidden="false" customHeight="false" outlineLevel="0" collapsed="false">
      <c r="A604" s="0" t="s">
        <v>1386</v>
      </c>
      <c r="B604" s="0" t="s">
        <v>1387</v>
      </c>
      <c r="C604" s="0" t="s">
        <v>371</v>
      </c>
      <c r="D604" s="0" t="s">
        <v>25</v>
      </c>
      <c r="E604" s="0" t="s">
        <v>288</v>
      </c>
      <c r="F604" s="0" t="s">
        <v>237</v>
      </c>
      <c r="G604" s="0" t="n">
        <v>3726437</v>
      </c>
      <c r="H604" s="0" t="n">
        <v>116467</v>
      </c>
      <c r="I604" s="0" t="n">
        <v>38309</v>
      </c>
      <c r="J604" s="0" t="n">
        <v>3.9</v>
      </c>
      <c r="K604" s="0" t="n">
        <v>9</v>
      </c>
      <c r="L604" s="0" t="n">
        <v>733</v>
      </c>
      <c r="M604" s="0" t="s">
        <v>20</v>
      </c>
      <c r="N604" s="0" t="s">
        <v>21</v>
      </c>
    </row>
    <row r="605" customFormat="false" ht="15" hidden="false" customHeight="false" outlineLevel="0" collapsed="false">
      <c r="A605" s="0" t="s">
        <v>1388</v>
      </c>
      <c r="B605" s="0" t="s">
        <v>1389</v>
      </c>
      <c r="C605" s="0" t="s">
        <v>317</v>
      </c>
      <c r="D605" s="0" t="s">
        <v>89</v>
      </c>
      <c r="E605" s="0" t="s">
        <v>418</v>
      </c>
      <c r="F605" s="0" t="s">
        <v>130</v>
      </c>
      <c r="G605" s="0" t="n">
        <v>1656802</v>
      </c>
      <c r="H605" s="0" t="n">
        <v>56910</v>
      </c>
      <c r="I605" s="0" t="n">
        <v>14946</v>
      </c>
      <c r="J605" s="0" t="n">
        <v>22.5</v>
      </c>
      <c r="K605" s="0" t="n">
        <v>15</v>
      </c>
      <c r="L605" s="0" t="n">
        <v>426</v>
      </c>
      <c r="M605" s="0" t="s">
        <v>54</v>
      </c>
      <c r="N605" s="0" t="s">
        <v>96</v>
      </c>
    </row>
    <row r="606" customFormat="false" ht="15" hidden="false" customHeight="false" outlineLevel="0" collapsed="false">
      <c r="A606" s="0" t="s">
        <v>1390</v>
      </c>
      <c r="B606" s="0" t="s">
        <v>716</v>
      </c>
      <c r="C606" s="0" t="s">
        <v>1083</v>
      </c>
      <c r="D606" s="0" t="s">
        <v>46</v>
      </c>
      <c r="E606" s="0" t="s">
        <v>241</v>
      </c>
      <c r="F606" s="0" t="s">
        <v>269</v>
      </c>
      <c r="G606" s="0" t="n">
        <v>2889937</v>
      </c>
      <c r="H606" s="0" t="n">
        <v>94267</v>
      </c>
      <c r="I606" s="0" t="n">
        <v>27542</v>
      </c>
      <c r="J606" s="0" t="n">
        <v>46.6</v>
      </c>
      <c r="K606" s="0" t="n">
        <v>8</v>
      </c>
      <c r="L606" s="0" t="n">
        <v>257</v>
      </c>
      <c r="M606" s="0" t="s">
        <v>35</v>
      </c>
      <c r="N606" s="0" t="s">
        <v>96</v>
      </c>
    </row>
    <row r="607" customFormat="false" ht="15" hidden="false" customHeight="false" outlineLevel="0" collapsed="false">
      <c r="A607" s="0" t="s">
        <v>1391</v>
      </c>
      <c r="B607" s="0" t="s">
        <v>485</v>
      </c>
      <c r="C607" s="0" t="s">
        <v>99</v>
      </c>
      <c r="D607" s="0" t="s">
        <v>78</v>
      </c>
      <c r="E607" s="0" t="s">
        <v>440</v>
      </c>
      <c r="F607" s="0" t="s">
        <v>244</v>
      </c>
      <c r="G607" s="0" t="n">
        <v>2645669</v>
      </c>
      <c r="H607" s="0" t="n">
        <v>85183</v>
      </c>
      <c r="I607" s="0" t="n">
        <v>30604</v>
      </c>
      <c r="J607" s="0" t="n">
        <v>57.6</v>
      </c>
      <c r="K607" s="0" t="n">
        <v>8</v>
      </c>
      <c r="L607" s="0" t="n">
        <v>770</v>
      </c>
      <c r="M607" s="0" t="s">
        <v>20</v>
      </c>
      <c r="N607" s="0" t="s">
        <v>122</v>
      </c>
    </row>
    <row r="608" customFormat="false" ht="15" hidden="false" customHeight="false" outlineLevel="0" collapsed="false">
      <c r="A608" s="0" t="s">
        <v>1392</v>
      </c>
      <c r="B608" s="0" t="s">
        <v>1348</v>
      </c>
      <c r="C608" s="0" t="s">
        <v>133</v>
      </c>
      <c r="D608" s="0" t="s">
        <v>17</v>
      </c>
      <c r="E608" s="0" t="s">
        <v>41</v>
      </c>
      <c r="F608" s="0" t="s">
        <v>618</v>
      </c>
      <c r="G608" s="0" t="n">
        <v>1564462</v>
      </c>
      <c r="H608" s="0" t="n">
        <v>46634</v>
      </c>
      <c r="I608" s="0" t="n">
        <v>15307</v>
      </c>
      <c r="J608" s="0" t="n">
        <v>43.3</v>
      </c>
      <c r="K608" s="0" t="n">
        <v>25</v>
      </c>
      <c r="L608" s="0" t="n">
        <v>734</v>
      </c>
      <c r="M608" s="0" t="s">
        <v>35</v>
      </c>
      <c r="N608" s="0" t="s">
        <v>42</v>
      </c>
    </row>
    <row r="609" customFormat="false" ht="15" hidden="false" customHeight="false" outlineLevel="0" collapsed="false">
      <c r="A609" s="0" t="s">
        <v>1393</v>
      </c>
      <c r="B609" s="0" t="s">
        <v>1309</v>
      </c>
      <c r="C609" s="0" t="s">
        <v>567</v>
      </c>
      <c r="D609" s="0" t="s">
        <v>59</v>
      </c>
      <c r="E609" s="0" t="s">
        <v>440</v>
      </c>
      <c r="F609" s="0" t="s">
        <v>159</v>
      </c>
      <c r="G609" s="0" t="n">
        <v>2905765</v>
      </c>
      <c r="H609" s="0" t="n">
        <v>126513</v>
      </c>
      <c r="I609" s="0" t="n">
        <v>31419</v>
      </c>
      <c r="J609" s="0" t="n">
        <v>42.8</v>
      </c>
      <c r="K609" s="0" t="n">
        <v>17</v>
      </c>
      <c r="L609" s="0" t="n">
        <v>183</v>
      </c>
      <c r="M609" s="0" t="s">
        <v>35</v>
      </c>
      <c r="N609" s="0" t="s">
        <v>28</v>
      </c>
    </row>
    <row r="610" customFormat="false" ht="15" hidden="false" customHeight="false" outlineLevel="0" collapsed="false">
      <c r="A610" s="0" t="s">
        <v>1394</v>
      </c>
      <c r="B610" s="0" t="s">
        <v>420</v>
      </c>
      <c r="C610" s="0" t="s">
        <v>701</v>
      </c>
      <c r="D610" s="0" t="s">
        <v>59</v>
      </c>
      <c r="E610" s="0" t="s">
        <v>126</v>
      </c>
      <c r="F610" s="0" t="s">
        <v>214</v>
      </c>
      <c r="G610" s="0" t="n">
        <v>3177275</v>
      </c>
      <c r="H610" s="0" t="n">
        <v>177094</v>
      </c>
      <c r="I610" s="0" t="n">
        <v>45294</v>
      </c>
      <c r="J610" s="0" t="n">
        <v>57.3</v>
      </c>
      <c r="K610" s="0" t="n">
        <v>21</v>
      </c>
      <c r="L610" s="0" t="n">
        <v>183</v>
      </c>
      <c r="M610" s="0" t="s">
        <v>35</v>
      </c>
      <c r="N610" s="0" t="s">
        <v>28</v>
      </c>
    </row>
    <row r="611" customFormat="false" ht="15" hidden="false" customHeight="false" outlineLevel="0" collapsed="false">
      <c r="A611" s="0" t="s">
        <v>1395</v>
      </c>
      <c r="B611" s="0" t="s">
        <v>580</v>
      </c>
      <c r="C611" s="0" t="s">
        <v>510</v>
      </c>
      <c r="D611" s="0" t="s">
        <v>71</v>
      </c>
      <c r="E611" s="0" t="s">
        <v>389</v>
      </c>
      <c r="F611" s="0" t="s">
        <v>198</v>
      </c>
      <c r="G611" s="0" t="n">
        <v>1084291</v>
      </c>
      <c r="H611" s="0" t="n">
        <v>29321</v>
      </c>
      <c r="I611" s="0" t="n">
        <v>7777</v>
      </c>
      <c r="J611" s="0" t="n">
        <v>15.8</v>
      </c>
      <c r="K611" s="0" t="n">
        <v>25</v>
      </c>
      <c r="L611" s="0" t="n">
        <v>654</v>
      </c>
      <c r="M611" s="0" t="s">
        <v>54</v>
      </c>
      <c r="N611" s="0" t="s">
        <v>140</v>
      </c>
    </row>
    <row r="612" customFormat="false" ht="15" hidden="false" customHeight="false" outlineLevel="0" collapsed="false">
      <c r="A612" s="0" t="s">
        <v>1396</v>
      </c>
      <c r="B612" s="0" t="s">
        <v>1149</v>
      </c>
      <c r="C612" s="0" t="s">
        <v>749</v>
      </c>
      <c r="D612" s="0" t="s">
        <v>144</v>
      </c>
      <c r="E612" s="0" t="s">
        <v>353</v>
      </c>
      <c r="F612" s="0" t="s">
        <v>66</v>
      </c>
      <c r="G612" s="0" t="n">
        <v>1956510</v>
      </c>
      <c r="H612" s="0" t="n">
        <v>49322</v>
      </c>
      <c r="I612" s="0" t="n">
        <v>12483</v>
      </c>
      <c r="J612" s="0" t="n">
        <v>38.8</v>
      </c>
      <c r="K612" s="0" t="n">
        <v>20</v>
      </c>
      <c r="L612" s="0" t="n">
        <v>626</v>
      </c>
      <c r="M612" s="0" t="s">
        <v>54</v>
      </c>
      <c r="N612" s="0" t="s">
        <v>81</v>
      </c>
    </row>
    <row r="613" customFormat="false" ht="15" hidden="false" customHeight="false" outlineLevel="0" collapsed="false">
      <c r="A613" s="0" t="s">
        <v>1397</v>
      </c>
      <c r="B613" s="0" t="s">
        <v>1398</v>
      </c>
      <c r="C613" s="0" t="s">
        <v>787</v>
      </c>
      <c r="D613" s="0" t="s">
        <v>32</v>
      </c>
      <c r="E613" s="0" t="s">
        <v>252</v>
      </c>
      <c r="F613" s="0" t="s">
        <v>204</v>
      </c>
      <c r="G613" s="0" t="n">
        <v>3051838</v>
      </c>
      <c r="H613" s="0" t="n">
        <v>135626</v>
      </c>
      <c r="I613" s="0" t="n">
        <v>35125</v>
      </c>
      <c r="J613" s="0" t="n">
        <v>42</v>
      </c>
      <c r="K613" s="0" t="n">
        <v>19</v>
      </c>
      <c r="L613" s="0" t="n">
        <v>778</v>
      </c>
      <c r="M613" s="0" t="s">
        <v>20</v>
      </c>
      <c r="N613" s="0" t="s">
        <v>169</v>
      </c>
    </row>
    <row r="614" customFormat="false" ht="15" hidden="false" customHeight="false" outlineLevel="0" collapsed="false">
      <c r="A614" s="0" t="s">
        <v>1399</v>
      </c>
      <c r="B614" s="0" t="s">
        <v>1400</v>
      </c>
      <c r="C614" s="0" t="s">
        <v>152</v>
      </c>
      <c r="D614" s="0" t="s">
        <v>59</v>
      </c>
      <c r="E614" s="0" t="s">
        <v>233</v>
      </c>
      <c r="F614" s="0" t="s">
        <v>273</v>
      </c>
      <c r="G614" s="0" t="n">
        <v>3882152</v>
      </c>
      <c r="H614" s="0" t="n">
        <v>150819</v>
      </c>
      <c r="I614" s="0" t="n">
        <v>37271</v>
      </c>
      <c r="J614" s="0" t="n">
        <v>29.3</v>
      </c>
      <c r="K614" s="0" t="n">
        <v>11</v>
      </c>
      <c r="L614" s="0" t="n">
        <v>470</v>
      </c>
      <c r="M614" s="0" t="s">
        <v>20</v>
      </c>
      <c r="N614" s="0" t="s">
        <v>42</v>
      </c>
    </row>
    <row r="615" customFormat="false" ht="15" hidden="false" customHeight="false" outlineLevel="0" collapsed="false">
      <c r="A615" s="0" t="s">
        <v>1401</v>
      </c>
      <c r="B615" s="0" t="s">
        <v>1022</v>
      </c>
      <c r="C615" s="0" t="s">
        <v>800</v>
      </c>
      <c r="D615" s="0" t="s">
        <v>78</v>
      </c>
      <c r="E615" s="0" t="s">
        <v>73</v>
      </c>
      <c r="F615" s="0" t="s">
        <v>214</v>
      </c>
      <c r="G615" s="0" t="n">
        <v>3119882</v>
      </c>
      <c r="H615" s="0" t="n">
        <v>89034</v>
      </c>
      <c r="I615" s="0" t="n">
        <v>24167</v>
      </c>
      <c r="J615" s="0" t="n">
        <v>31.9</v>
      </c>
      <c r="K615" s="0" t="n">
        <v>23</v>
      </c>
      <c r="L615" s="0" t="n">
        <v>598</v>
      </c>
      <c r="M615" s="0" t="s">
        <v>54</v>
      </c>
      <c r="N615" s="0" t="s">
        <v>122</v>
      </c>
    </row>
    <row r="616" customFormat="false" ht="15" hidden="false" customHeight="false" outlineLevel="0" collapsed="false">
      <c r="A616" s="0" t="s">
        <v>1402</v>
      </c>
      <c r="B616" s="0" t="s">
        <v>1403</v>
      </c>
      <c r="C616" s="0" t="s">
        <v>392</v>
      </c>
      <c r="D616" s="0" t="s">
        <v>109</v>
      </c>
      <c r="E616" s="0" t="s">
        <v>52</v>
      </c>
      <c r="F616" s="0" t="s">
        <v>204</v>
      </c>
      <c r="G616" s="0" t="n">
        <v>1559232</v>
      </c>
      <c r="H616" s="0" t="n">
        <v>54426</v>
      </c>
      <c r="I616" s="0" t="n">
        <v>17842</v>
      </c>
      <c r="J616" s="0" t="n">
        <v>36.3</v>
      </c>
      <c r="K616" s="0" t="n">
        <v>21</v>
      </c>
      <c r="L616" s="0" t="n">
        <v>467</v>
      </c>
      <c r="M616" s="0" t="s">
        <v>54</v>
      </c>
      <c r="N616" s="0" t="s">
        <v>74</v>
      </c>
    </row>
    <row r="617" customFormat="false" ht="15" hidden="false" customHeight="false" outlineLevel="0" collapsed="false">
      <c r="A617" s="0" t="s">
        <v>1404</v>
      </c>
      <c r="B617" s="0" t="s">
        <v>739</v>
      </c>
      <c r="C617" s="0" t="s">
        <v>486</v>
      </c>
      <c r="D617" s="0" t="s">
        <v>32</v>
      </c>
      <c r="E617" s="0" t="s">
        <v>106</v>
      </c>
      <c r="F617" s="0" t="s">
        <v>125</v>
      </c>
      <c r="G617" s="0" t="n">
        <v>3470453</v>
      </c>
      <c r="H617" s="0" t="n">
        <v>130893</v>
      </c>
      <c r="I617" s="0" t="n">
        <v>42183</v>
      </c>
      <c r="J617" s="0" t="n">
        <v>59.1</v>
      </c>
      <c r="K617" s="0" t="n">
        <v>6</v>
      </c>
      <c r="L617" s="0" t="n">
        <v>785</v>
      </c>
      <c r="M617" s="0" t="s">
        <v>54</v>
      </c>
      <c r="N617" s="0" t="s">
        <v>55</v>
      </c>
    </row>
    <row r="618" customFormat="false" ht="15" hidden="false" customHeight="false" outlineLevel="0" collapsed="false">
      <c r="A618" s="0" t="s">
        <v>1405</v>
      </c>
      <c r="B618" s="0" t="s">
        <v>1406</v>
      </c>
      <c r="C618" s="0" t="s">
        <v>698</v>
      </c>
      <c r="D618" s="0" t="s">
        <v>71</v>
      </c>
      <c r="E618" s="0" t="s">
        <v>372</v>
      </c>
      <c r="F618" s="0" t="s">
        <v>340</v>
      </c>
      <c r="G618" s="0" t="n">
        <v>1797331</v>
      </c>
      <c r="H618" s="0" t="n">
        <v>34877</v>
      </c>
      <c r="I618" s="0" t="n">
        <v>13087</v>
      </c>
      <c r="J618" s="0" t="n">
        <v>54.4</v>
      </c>
      <c r="K618" s="0" t="n">
        <v>24</v>
      </c>
      <c r="L618" s="0" t="n">
        <v>245</v>
      </c>
      <c r="M618" s="0" t="s">
        <v>35</v>
      </c>
      <c r="N618" s="0" t="s">
        <v>169</v>
      </c>
    </row>
    <row r="619" customFormat="false" ht="15" hidden="false" customHeight="false" outlineLevel="0" collapsed="false">
      <c r="A619" s="0" t="s">
        <v>1407</v>
      </c>
      <c r="B619" s="0" t="s">
        <v>76</v>
      </c>
      <c r="C619" s="0" t="s">
        <v>375</v>
      </c>
      <c r="D619" s="0" t="s">
        <v>78</v>
      </c>
      <c r="E619" s="0" t="s">
        <v>237</v>
      </c>
      <c r="F619" s="0" t="s">
        <v>305</v>
      </c>
      <c r="G619" s="0" t="n">
        <v>2032249</v>
      </c>
      <c r="H619" s="0" t="n">
        <v>77741</v>
      </c>
      <c r="I619" s="0" t="n">
        <v>28410</v>
      </c>
      <c r="J619" s="0" t="n">
        <v>38.6</v>
      </c>
      <c r="K619" s="0" t="n">
        <v>8</v>
      </c>
      <c r="L619" s="0" t="n">
        <v>697</v>
      </c>
      <c r="M619" s="0" t="s">
        <v>54</v>
      </c>
      <c r="N619" s="0" t="s">
        <v>55</v>
      </c>
    </row>
    <row r="620" customFormat="false" ht="15" hidden="false" customHeight="false" outlineLevel="0" collapsed="false">
      <c r="A620" s="0" t="s">
        <v>1408</v>
      </c>
      <c r="B620" s="0" t="s">
        <v>282</v>
      </c>
      <c r="C620" s="0" t="s">
        <v>256</v>
      </c>
      <c r="D620" s="0" t="s">
        <v>109</v>
      </c>
      <c r="E620" s="0" t="s">
        <v>66</v>
      </c>
      <c r="F620" s="0" t="s">
        <v>186</v>
      </c>
      <c r="G620" s="0" t="n">
        <v>1150787</v>
      </c>
      <c r="H620" s="0" t="n">
        <v>39105</v>
      </c>
      <c r="I620" s="0" t="n">
        <v>9209</v>
      </c>
      <c r="J620" s="0" t="n">
        <v>13.8</v>
      </c>
      <c r="K620" s="0" t="n">
        <v>8</v>
      </c>
      <c r="L620" s="0" t="n">
        <v>517</v>
      </c>
      <c r="M620" s="0" t="s">
        <v>20</v>
      </c>
      <c r="N620" s="0" t="s">
        <v>21</v>
      </c>
    </row>
    <row r="621" customFormat="false" ht="15" hidden="false" customHeight="false" outlineLevel="0" collapsed="false">
      <c r="A621" s="0" t="s">
        <v>1409</v>
      </c>
      <c r="B621" s="0" t="s">
        <v>1410</v>
      </c>
      <c r="C621" s="0" t="s">
        <v>1142</v>
      </c>
      <c r="D621" s="0" t="s">
        <v>109</v>
      </c>
      <c r="E621" s="0" t="s">
        <v>120</v>
      </c>
      <c r="F621" s="0" t="s">
        <v>204</v>
      </c>
      <c r="G621" s="0" t="n">
        <v>2162035</v>
      </c>
      <c r="H621" s="0" t="n">
        <v>50105</v>
      </c>
      <c r="I621" s="0" t="n">
        <v>14418</v>
      </c>
      <c r="J621" s="0" t="n">
        <v>24.4</v>
      </c>
      <c r="K621" s="0" t="n">
        <v>9</v>
      </c>
      <c r="L621" s="0" t="n">
        <v>353</v>
      </c>
      <c r="M621" s="0" t="s">
        <v>20</v>
      </c>
      <c r="N621" s="0" t="s">
        <v>21</v>
      </c>
    </row>
    <row r="622" customFormat="false" ht="15" hidden="false" customHeight="false" outlineLevel="0" collapsed="false">
      <c r="A622" s="0" t="s">
        <v>1411</v>
      </c>
      <c r="B622" s="0" t="s">
        <v>352</v>
      </c>
      <c r="C622" s="0" t="s">
        <v>986</v>
      </c>
      <c r="D622" s="0" t="s">
        <v>109</v>
      </c>
      <c r="E622" s="0" t="s">
        <v>346</v>
      </c>
      <c r="F622" s="0" t="s">
        <v>205</v>
      </c>
      <c r="G622" s="0" t="n">
        <v>1615000</v>
      </c>
      <c r="H622" s="0" t="n">
        <v>48540</v>
      </c>
      <c r="I622" s="0" t="n">
        <v>12762</v>
      </c>
      <c r="J622" s="0" t="n">
        <v>48.4</v>
      </c>
      <c r="K622" s="0" t="n">
        <v>23</v>
      </c>
      <c r="L622" s="0" t="n">
        <v>759</v>
      </c>
      <c r="M622" s="0" t="s">
        <v>54</v>
      </c>
      <c r="N622" s="0" t="s">
        <v>96</v>
      </c>
    </row>
    <row r="623" customFormat="false" ht="15" hidden="false" customHeight="false" outlineLevel="0" collapsed="false">
      <c r="A623" s="0" t="s">
        <v>1412</v>
      </c>
      <c r="B623" s="0" t="s">
        <v>504</v>
      </c>
      <c r="C623" s="0" t="s">
        <v>529</v>
      </c>
      <c r="D623" s="0" t="s">
        <v>32</v>
      </c>
      <c r="E623" s="0" t="s">
        <v>248</v>
      </c>
      <c r="F623" s="0" t="s">
        <v>197</v>
      </c>
      <c r="G623" s="0" t="n">
        <v>3316260</v>
      </c>
      <c r="H623" s="0" t="n">
        <v>114485</v>
      </c>
      <c r="I623" s="0" t="n">
        <v>41081</v>
      </c>
      <c r="J623" s="0" t="n">
        <v>21.6</v>
      </c>
      <c r="K623" s="0" t="n">
        <v>9</v>
      </c>
      <c r="L623" s="0" t="n">
        <v>666</v>
      </c>
      <c r="M623" s="0" t="s">
        <v>20</v>
      </c>
      <c r="N623" s="0" t="s">
        <v>122</v>
      </c>
    </row>
    <row r="624" customFormat="false" ht="15" hidden="false" customHeight="false" outlineLevel="0" collapsed="false">
      <c r="A624" s="0" t="s">
        <v>1413</v>
      </c>
      <c r="B624" s="0" t="s">
        <v>104</v>
      </c>
      <c r="C624" s="0" t="s">
        <v>456</v>
      </c>
      <c r="D624" s="0" t="s">
        <v>46</v>
      </c>
      <c r="E624" s="0" t="s">
        <v>679</v>
      </c>
      <c r="F624" s="0" t="s">
        <v>487</v>
      </c>
      <c r="G624" s="0" t="n">
        <v>2390182</v>
      </c>
      <c r="H624" s="0" t="n">
        <v>57540</v>
      </c>
      <c r="I624" s="0" t="n">
        <v>18478</v>
      </c>
      <c r="J624" s="0" t="n">
        <v>6.4</v>
      </c>
      <c r="K624" s="0" t="n">
        <v>13</v>
      </c>
      <c r="L624" s="0" t="n">
        <v>662</v>
      </c>
      <c r="M624" s="0" t="s">
        <v>54</v>
      </c>
      <c r="N624" s="0" t="s">
        <v>74</v>
      </c>
    </row>
    <row r="625" customFormat="false" ht="15" hidden="false" customHeight="false" outlineLevel="0" collapsed="false">
      <c r="A625" s="0" t="s">
        <v>1414</v>
      </c>
      <c r="B625" s="0" t="s">
        <v>643</v>
      </c>
      <c r="C625" s="0" t="s">
        <v>787</v>
      </c>
      <c r="D625" s="0" t="s">
        <v>59</v>
      </c>
      <c r="E625" s="0" t="s">
        <v>181</v>
      </c>
      <c r="F625" s="0" t="s">
        <v>154</v>
      </c>
      <c r="G625" s="0" t="n">
        <v>1908335</v>
      </c>
      <c r="H625" s="0" t="n">
        <v>85296</v>
      </c>
      <c r="I625" s="0" t="n">
        <v>25172</v>
      </c>
      <c r="J625" s="0" t="n">
        <v>41.6</v>
      </c>
      <c r="K625" s="0" t="n">
        <v>19</v>
      </c>
      <c r="L625" s="0" t="n">
        <v>792</v>
      </c>
      <c r="M625" s="0" t="s">
        <v>20</v>
      </c>
      <c r="N625" s="0" t="s">
        <v>67</v>
      </c>
    </row>
    <row r="626" customFormat="false" ht="15" hidden="false" customHeight="false" outlineLevel="0" collapsed="false">
      <c r="A626" s="0" t="s">
        <v>1415</v>
      </c>
      <c r="B626" s="0" t="s">
        <v>1416</v>
      </c>
      <c r="C626" s="0" t="s">
        <v>251</v>
      </c>
      <c r="D626" s="0" t="s">
        <v>32</v>
      </c>
      <c r="E626" s="0" t="s">
        <v>158</v>
      </c>
      <c r="F626" s="0" t="s">
        <v>159</v>
      </c>
      <c r="G626" s="0" t="n">
        <v>3141651</v>
      </c>
      <c r="H626" s="0" t="n">
        <v>124263</v>
      </c>
      <c r="I626" s="0" t="n">
        <v>37878</v>
      </c>
      <c r="J626" s="0" t="n">
        <v>39.8</v>
      </c>
      <c r="K626" s="0" t="n">
        <v>20</v>
      </c>
      <c r="L626" s="0" t="n">
        <v>501</v>
      </c>
      <c r="M626" s="0" t="s">
        <v>54</v>
      </c>
      <c r="N626" s="0" t="s">
        <v>102</v>
      </c>
    </row>
    <row r="627" customFormat="false" ht="15" hidden="false" customHeight="false" outlineLevel="0" collapsed="false">
      <c r="A627" s="0" t="s">
        <v>1417</v>
      </c>
      <c r="B627" s="0" t="s">
        <v>1418</v>
      </c>
      <c r="C627" s="0" t="s">
        <v>388</v>
      </c>
      <c r="D627" s="0" t="s">
        <v>71</v>
      </c>
      <c r="E627" s="0" t="s">
        <v>110</v>
      </c>
      <c r="F627" s="0" t="s">
        <v>266</v>
      </c>
      <c r="G627" s="0" t="n">
        <v>1775781</v>
      </c>
      <c r="H627" s="0" t="n">
        <v>47091</v>
      </c>
      <c r="I627" s="0" t="n">
        <v>11368</v>
      </c>
      <c r="J627" s="0" t="n">
        <v>22.5</v>
      </c>
      <c r="K627" s="0" t="n">
        <v>13</v>
      </c>
      <c r="L627" s="0" t="n">
        <v>610</v>
      </c>
      <c r="M627" s="0" t="s">
        <v>54</v>
      </c>
      <c r="N627" s="0" t="s">
        <v>140</v>
      </c>
    </row>
    <row r="628" customFormat="false" ht="15" hidden="false" customHeight="false" outlineLevel="0" collapsed="false">
      <c r="A628" s="0" t="s">
        <v>1419</v>
      </c>
      <c r="B628" s="0" t="s">
        <v>1420</v>
      </c>
      <c r="C628" s="0" t="s">
        <v>492</v>
      </c>
      <c r="D628" s="0" t="s">
        <v>89</v>
      </c>
      <c r="E628" s="0" t="s">
        <v>181</v>
      </c>
      <c r="F628" s="0" t="s">
        <v>1038</v>
      </c>
      <c r="G628" s="0" t="n">
        <v>1209276</v>
      </c>
      <c r="H628" s="0" t="n">
        <v>37241</v>
      </c>
      <c r="I628" s="0" t="n">
        <v>12332</v>
      </c>
      <c r="J628" s="0" t="n">
        <v>52.7</v>
      </c>
      <c r="K628" s="0" t="n">
        <v>24</v>
      </c>
      <c r="L628" s="0" t="n">
        <v>172</v>
      </c>
      <c r="M628" s="0" t="s">
        <v>20</v>
      </c>
      <c r="N628" s="0" t="s">
        <v>169</v>
      </c>
    </row>
    <row r="629" customFormat="false" ht="15" hidden="false" customHeight="false" outlineLevel="0" collapsed="false">
      <c r="A629" s="0" t="s">
        <v>1421</v>
      </c>
      <c r="B629" s="0" t="s">
        <v>1422</v>
      </c>
      <c r="C629" s="0" t="s">
        <v>180</v>
      </c>
      <c r="D629" s="0" t="s">
        <v>25</v>
      </c>
      <c r="E629" s="0" t="s">
        <v>390</v>
      </c>
      <c r="F629" s="0" t="s">
        <v>306</v>
      </c>
      <c r="G629" s="0" t="n">
        <v>2941058</v>
      </c>
      <c r="H629" s="0" t="n">
        <v>107550</v>
      </c>
      <c r="I629" s="0" t="n">
        <v>33286</v>
      </c>
      <c r="J629" s="0" t="n">
        <v>48.7</v>
      </c>
      <c r="K629" s="0" t="n">
        <v>20</v>
      </c>
      <c r="L629" s="0" t="n">
        <v>360</v>
      </c>
      <c r="M629" s="0" t="s">
        <v>35</v>
      </c>
      <c r="N629" s="0" t="s">
        <v>42</v>
      </c>
    </row>
    <row r="630" customFormat="false" ht="15" hidden="false" customHeight="false" outlineLevel="0" collapsed="false">
      <c r="A630" s="0" t="s">
        <v>1423</v>
      </c>
      <c r="B630" s="0" t="s">
        <v>1424</v>
      </c>
      <c r="C630" s="0" t="s">
        <v>445</v>
      </c>
      <c r="D630" s="0" t="s">
        <v>144</v>
      </c>
      <c r="E630" s="0" t="s">
        <v>770</v>
      </c>
      <c r="F630" s="0" t="s">
        <v>347</v>
      </c>
      <c r="G630" s="0" t="n">
        <v>1995409</v>
      </c>
      <c r="H630" s="0" t="n">
        <v>44744</v>
      </c>
      <c r="I630" s="0" t="n">
        <v>10153</v>
      </c>
      <c r="J630" s="0" t="n">
        <v>4.1</v>
      </c>
      <c r="K630" s="0" t="n">
        <v>17</v>
      </c>
      <c r="L630" s="0" t="n">
        <v>733</v>
      </c>
      <c r="M630" s="0" t="s">
        <v>54</v>
      </c>
      <c r="N630" s="0" t="s">
        <v>102</v>
      </c>
    </row>
    <row r="631" customFormat="false" ht="15" hidden="false" customHeight="false" outlineLevel="0" collapsed="false">
      <c r="A631" s="0" t="s">
        <v>1425</v>
      </c>
      <c r="B631" s="0" t="s">
        <v>1426</v>
      </c>
      <c r="C631" s="0" t="s">
        <v>180</v>
      </c>
      <c r="D631" s="0" t="s">
        <v>144</v>
      </c>
      <c r="E631" s="0" t="s">
        <v>198</v>
      </c>
      <c r="F631" s="0" t="s">
        <v>451</v>
      </c>
      <c r="G631" s="0" t="n">
        <v>2345384</v>
      </c>
      <c r="H631" s="0" t="n">
        <v>56888</v>
      </c>
      <c r="I631" s="0" t="n">
        <v>13472</v>
      </c>
      <c r="J631" s="0" t="n">
        <v>29.8</v>
      </c>
      <c r="K631" s="0" t="n">
        <v>7</v>
      </c>
      <c r="L631" s="0" t="n">
        <v>237</v>
      </c>
      <c r="M631" s="0" t="s">
        <v>54</v>
      </c>
      <c r="N631" s="0" t="s">
        <v>55</v>
      </c>
    </row>
    <row r="632" customFormat="false" ht="15" hidden="false" customHeight="false" outlineLevel="0" collapsed="false">
      <c r="A632" s="0" t="s">
        <v>1427</v>
      </c>
      <c r="B632" s="0" t="s">
        <v>1428</v>
      </c>
      <c r="C632" s="0" t="s">
        <v>1142</v>
      </c>
      <c r="D632" s="0" t="s">
        <v>17</v>
      </c>
      <c r="E632" s="0" t="s">
        <v>120</v>
      </c>
      <c r="F632" s="0" t="s">
        <v>121</v>
      </c>
      <c r="G632" s="0" t="n">
        <v>2812722</v>
      </c>
      <c r="H632" s="0" t="n">
        <v>76244</v>
      </c>
      <c r="I632" s="0" t="n">
        <v>17223</v>
      </c>
      <c r="J632" s="0" t="n">
        <v>44.9</v>
      </c>
      <c r="K632" s="0" t="n">
        <v>20</v>
      </c>
      <c r="L632" s="0" t="n">
        <v>163</v>
      </c>
      <c r="M632" s="0" t="s">
        <v>54</v>
      </c>
      <c r="N632" s="0" t="s">
        <v>67</v>
      </c>
    </row>
    <row r="633" customFormat="false" ht="15" hidden="false" customHeight="false" outlineLevel="0" collapsed="false">
      <c r="A633" s="0" t="s">
        <v>1429</v>
      </c>
      <c r="B633" s="0" t="s">
        <v>1430</v>
      </c>
      <c r="C633" s="0" t="s">
        <v>784</v>
      </c>
      <c r="D633" s="0" t="s">
        <v>109</v>
      </c>
      <c r="E633" s="0" t="s">
        <v>770</v>
      </c>
      <c r="F633" s="0" t="s">
        <v>574</v>
      </c>
      <c r="G633" s="0" t="n">
        <v>1491503</v>
      </c>
      <c r="H633" s="0" t="n">
        <v>42242</v>
      </c>
      <c r="I633" s="0" t="n">
        <v>11120</v>
      </c>
      <c r="J633" s="0" t="n">
        <v>27.8</v>
      </c>
      <c r="K633" s="0" t="n">
        <v>23</v>
      </c>
      <c r="L633" s="0" t="n">
        <v>236</v>
      </c>
      <c r="M633" s="0" t="s">
        <v>20</v>
      </c>
      <c r="N633" s="0" t="s">
        <v>81</v>
      </c>
    </row>
    <row r="634" customFormat="false" ht="15" hidden="false" customHeight="false" outlineLevel="0" collapsed="false">
      <c r="A634" s="0" t="s">
        <v>1431</v>
      </c>
      <c r="B634" s="0" t="s">
        <v>1432</v>
      </c>
      <c r="C634" s="0" t="s">
        <v>701</v>
      </c>
      <c r="D634" s="0" t="s">
        <v>32</v>
      </c>
      <c r="E634" s="0" t="s">
        <v>34</v>
      </c>
      <c r="F634" s="0" t="s">
        <v>73</v>
      </c>
      <c r="G634" s="0" t="n">
        <v>1903216</v>
      </c>
      <c r="H634" s="0" t="n">
        <v>80905</v>
      </c>
      <c r="I634" s="0" t="n">
        <v>23234</v>
      </c>
      <c r="J634" s="0" t="n">
        <v>16.2</v>
      </c>
      <c r="K634" s="0" t="n">
        <v>18</v>
      </c>
      <c r="L634" s="0" t="n">
        <v>590</v>
      </c>
      <c r="M634" s="0" t="s">
        <v>54</v>
      </c>
      <c r="N634" s="0" t="s">
        <v>74</v>
      </c>
    </row>
    <row r="635" customFormat="false" ht="15" hidden="false" customHeight="false" outlineLevel="0" collapsed="false">
      <c r="A635" s="0" t="s">
        <v>1433</v>
      </c>
      <c r="B635" s="0" t="s">
        <v>1434</v>
      </c>
      <c r="C635" s="0" t="s">
        <v>720</v>
      </c>
      <c r="D635" s="0" t="s">
        <v>144</v>
      </c>
      <c r="E635" s="0" t="s">
        <v>47</v>
      </c>
      <c r="F635" s="0" t="s">
        <v>339</v>
      </c>
      <c r="G635" s="0" t="n">
        <v>1577733</v>
      </c>
      <c r="H635" s="0" t="n">
        <v>38401</v>
      </c>
      <c r="I635" s="0" t="n">
        <v>10780</v>
      </c>
      <c r="J635" s="0" t="n">
        <v>52.7</v>
      </c>
      <c r="K635" s="0" t="n">
        <v>17</v>
      </c>
      <c r="L635" s="0" t="n">
        <v>744</v>
      </c>
      <c r="M635" s="0" t="s">
        <v>20</v>
      </c>
      <c r="N635" s="0" t="s">
        <v>122</v>
      </c>
    </row>
    <row r="636" customFormat="false" ht="15" hidden="false" customHeight="false" outlineLevel="0" collapsed="false">
      <c r="A636" s="0" t="s">
        <v>1435</v>
      </c>
      <c r="B636" s="0" t="s">
        <v>1374</v>
      </c>
      <c r="C636" s="0" t="s">
        <v>148</v>
      </c>
      <c r="D636" s="0" t="s">
        <v>89</v>
      </c>
      <c r="E636" s="0" t="s">
        <v>52</v>
      </c>
      <c r="F636" s="0" t="s">
        <v>770</v>
      </c>
      <c r="G636" s="0" t="n">
        <v>1466949</v>
      </c>
      <c r="H636" s="0" t="n">
        <v>36782</v>
      </c>
      <c r="I636" s="0" t="n">
        <v>13222</v>
      </c>
      <c r="J636" s="0" t="n">
        <v>19.9</v>
      </c>
      <c r="K636" s="0" t="n">
        <v>8</v>
      </c>
      <c r="L636" s="0" t="n">
        <v>383</v>
      </c>
      <c r="M636" s="0" t="s">
        <v>54</v>
      </c>
      <c r="N636" s="0" t="s">
        <v>74</v>
      </c>
    </row>
    <row r="637" customFormat="false" ht="15" hidden="false" customHeight="false" outlineLevel="0" collapsed="false">
      <c r="A637" s="0" t="s">
        <v>1436</v>
      </c>
      <c r="B637" s="0" t="s">
        <v>620</v>
      </c>
      <c r="C637" s="0" t="s">
        <v>295</v>
      </c>
      <c r="D637" s="0" t="s">
        <v>89</v>
      </c>
      <c r="E637" s="0" t="s">
        <v>244</v>
      </c>
      <c r="F637" s="0" t="s">
        <v>321</v>
      </c>
      <c r="G637" s="0" t="n">
        <v>1048223</v>
      </c>
      <c r="H637" s="0" t="n">
        <v>22033</v>
      </c>
      <c r="I637" s="0" t="n">
        <v>7813</v>
      </c>
      <c r="J637" s="0" t="n">
        <v>11.1</v>
      </c>
      <c r="K637" s="0" t="n">
        <v>18</v>
      </c>
      <c r="L637" s="0" t="n">
        <v>252</v>
      </c>
      <c r="M637" s="0" t="s">
        <v>20</v>
      </c>
      <c r="N637" s="0" t="s">
        <v>21</v>
      </c>
    </row>
    <row r="638" customFormat="false" ht="15" hidden="false" customHeight="false" outlineLevel="0" collapsed="false">
      <c r="A638" s="0" t="s">
        <v>1437</v>
      </c>
      <c r="B638" s="0" t="s">
        <v>1438</v>
      </c>
      <c r="C638" s="0" t="s">
        <v>523</v>
      </c>
      <c r="D638" s="0" t="s">
        <v>25</v>
      </c>
      <c r="E638" s="0" t="s">
        <v>487</v>
      </c>
      <c r="F638" s="0" t="s">
        <v>111</v>
      </c>
      <c r="G638" s="0" t="n">
        <v>1778099</v>
      </c>
      <c r="H638" s="0" t="n">
        <v>57391</v>
      </c>
      <c r="I638" s="0" t="n">
        <v>20898</v>
      </c>
      <c r="J638" s="0" t="n">
        <v>50</v>
      </c>
      <c r="K638" s="0" t="n">
        <v>18</v>
      </c>
      <c r="L638" s="0" t="n">
        <v>480</v>
      </c>
      <c r="M638" s="0" t="s">
        <v>20</v>
      </c>
      <c r="N638" s="0" t="s">
        <v>67</v>
      </c>
    </row>
    <row r="639" customFormat="false" ht="15" hidden="false" customHeight="false" outlineLevel="0" collapsed="false">
      <c r="A639" s="0" t="s">
        <v>1439</v>
      </c>
      <c r="B639" s="0" t="s">
        <v>497</v>
      </c>
      <c r="C639" s="0" t="s">
        <v>45</v>
      </c>
      <c r="D639" s="0" t="s">
        <v>46</v>
      </c>
      <c r="E639" s="0" t="s">
        <v>407</v>
      </c>
      <c r="F639" s="0" t="s">
        <v>116</v>
      </c>
      <c r="G639" s="0" t="n">
        <v>2723481</v>
      </c>
      <c r="H639" s="0" t="n">
        <v>83051</v>
      </c>
      <c r="I639" s="0" t="n">
        <v>21327</v>
      </c>
      <c r="J639" s="0" t="n">
        <v>57.4</v>
      </c>
      <c r="K639" s="0" t="n">
        <v>21</v>
      </c>
      <c r="L639" s="0" t="n">
        <v>160</v>
      </c>
      <c r="M639" s="0" t="s">
        <v>20</v>
      </c>
      <c r="N639" s="0" t="s">
        <v>55</v>
      </c>
    </row>
    <row r="640" customFormat="false" ht="15" hidden="false" customHeight="false" outlineLevel="0" collapsed="false">
      <c r="A640" s="0" t="s">
        <v>1440</v>
      </c>
      <c r="B640" s="0" t="s">
        <v>1282</v>
      </c>
      <c r="C640" s="0" t="s">
        <v>510</v>
      </c>
      <c r="D640" s="0" t="s">
        <v>25</v>
      </c>
      <c r="E640" s="0" t="s">
        <v>238</v>
      </c>
      <c r="F640" s="0" t="s">
        <v>305</v>
      </c>
      <c r="G640" s="0" t="n">
        <v>1959427</v>
      </c>
      <c r="H640" s="0" t="n">
        <v>66650</v>
      </c>
      <c r="I640" s="0" t="n">
        <v>15505</v>
      </c>
      <c r="J640" s="0" t="n">
        <v>27.1</v>
      </c>
      <c r="K640" s="0" t="n">
        <v>13</v>
      </c>
      <c r="L640" s="0" t="n">
        <v>420</v>
      </c>
      <c r="M640" s="0" t="s">
        <v>35</v>
      </c>
      <c r="N640" s="0" t="s">
        <v>140</v>
      </c>
    </row>
    <row r="641" customFormat="false" ht="15" hidden="false" customHeight="false" outlineLevel="0" collapsed="false">
      <c r="A641" s="0" t="s">
        <v>1441</v>
      </c>
      <c r="B641" s="0" t="s">
        <v>1300</v>
      </c>
      <c r="C641" s="0" t="s">
        <v>958</v>
      </c>
      <c r="D641" s="0" t="s">
        <v>109</v>
      </c>
      <c r="E641" s="0" t="s">
        <v>329</v>
      </c>
      <c r="F641" s="0" t="s">
        <v>153</v>
      </c>
      <c r="G641" s="0" t="n">
        <v>1019940</v>
      </c>
      <c r="H641" s="0" t="n">
        <v>40989</v>
      </c>
      <c r="I641" s="0" t="n">
        <v>10172</v>
      </c>
      <c r="J641" s="0" t="n">
        <v>17.5</v>
      </c>
      <c r="K641" s="0" t="n">
        <v>23</v>
      </c>
      <c r="L641" s="0" t="n">
        <v>582</v>
      </c>
      <c r="M641" s="0" t="s">
        <v>54</v>
      </c>
      <c r="N641" s="0" t="s">
        <v>21</v>
      </c>
    </row>
    <row r="642" customFormat="false" ht="15" hidden="false" customHeight="false" outlineLevel="0" collapsed="false">
      <c r="A642" s="0" t="s">
        <v>1442</v>
      </c>
      <c r="B642" s="0" t="s">
        <v>1443</v>
      </c>
      <c r="C642" s="0" t="s">
        <v>88</v>
      </c>
      <c r="D642" s="0" t="s">
        <v>39</v>
      </c>
      <c r="E642" s="0" t="s">
        <v>266</v>
      </c>
      <c r="F642" s="0" t="s">
        <v>302</v>
      </c>
      <c r="G642" s="0" t="n">
        <v>2825246</v>
      </c>
      <c r="H642" s="0" t="n">
        <v>112724</v>
      </c>
      <c r="I642" s="0" t="n">
        <v>29427</v>
      </c>
      <c r="J642" s="0" t="n">
        <v>40.1</v>
      </c>
      <c r="K642" s="0" t="n">
        <v>13</v>
      </c>
      <c r="L642" s="0" t="n">
        <v>716</v>
      </c>
      <c r="M642" s="0" t="s">
        <v>20</v>
      </c>
      <c r="N642" s="0" t="s">
        <v>81</v>
      </c>
    </row>
    <row r="643" customFormat="false" ht="15" hidden="false" customHeight="false" outlineLevel="0" collapsed="false">
      <c r="A643" s="0" t="s">
        <v>1444</v>
      </c>
      <c r="B643" s="0" t="s">
        <v>1445</v>
      </c>
      <c r="C643" s="0" t="s">
        <v>371</v>
      </c>
      <c r="D643" s="0" t="s">
        <v>25</v>
      </c>
      <c r="E643" s="0" t="s">
        <v>116</v>
      </c>
      <c r="F643" s="0" t="s">
        <v>390</v>
      </c>
      <c r="G643" s="0" t="n">
        <v>3718291</v>
      </c>
      <c r="H643" s="0" t="n">
        <v>112692</v>
      </c>
      <c r="I643" s="0" t="n">
        <v>22899</v>
      </c>
      <c r="J643" s="0" t="n">
        <v>37.9</v>
      </c>
      <c r="K643" s="0" t="n">
        <v>10</v>
      </c>
      <c r="L643" s="0" t="n">
        <v>424</v>
      </c>
      <c r="M643" s="0" t="s">
        <v>20</v>
      </c>
      <c r="N643" s="0" t="s">
        <v>74</v>
      </c>
    </row>
    <row r="644" customFormat="false" ht="15" hidden="false" customHeight="false" outlineLevel="0" collapsed="false">
      <c r="A644" s="0" t="s">
        <v>1446</v>
      </c>
      <c r="B644" s="0" t="s">
        <v>1447</v>
      </c>
      <c r="C644" s="0" t="s">
        <v>189</v>
      </c>
      <c r="D644" s="0" t="s">
        <v>32</v>
      </c>
      <c r="E644" s="0" t="s">
        <v>457</v>
      </c>
      <c r="F644" s="0" t="s">
        <v>52</v>
      </c>
      <c r="G644" s="0" t="n">
        <v>1832019</v>
      </c>
      <c r="H644" s="0" t="n">
        <v>77004</v>
      </c>
      <c r="I644" s="0" t="n">
        <v>26770</v>
      </c>
      <c r="J644" s="0" t="n">
        <v>17.6</v>
      </c>
      <c r="K644" s="0" t="n">
        <v>12</v>
      </c>
      <c r="L644" s="0" t="n">
        <v>248</v>
      </c>
      <c r="M644" s="0" t="s">
        <v>20</v>
      </c>
      <c r="N644" s="0" t="s">
        <v>81</v>
      </c>
    </row>
    <row r="645" customFormat="false" ht="15" hidden="false" customHeight="false" outlineLevel="0" collapsed="false">
      <c r="A645" s="0" t="s">
        <v>1448</v>
      </c>
      <c r="B645" s="0" t="s">
        <v>1449</v>
      </c>
      <c r="C645" s="0" t="s">
        <v>445</v>
      </c>
      <c r="D645" s="0" t="s">
        <v>89</v>
      </c>
      <c r="E645" s="0" t="s">
        <v>233</v>
      </c>
      <c r="F645" s="0" t="s">
        <v>353</v>
      </c>
      <c r="G645" s="0" t="n">
        <v>1599550</v>
      </c>
      <c r="H645" s="0" t="n">
        <v>37051</v>
      </c>
      <c r="I645" s="0" t="n">
        <v>12150</v>
      </c>
      <c r="J645" s="0" t="n">
        <v>4</v>
      </c>
      <c r="K645" s="0" t="n">
        <v>19</v>
      </c>
      <c r="L645" s="0" t="n">
        <v>514</v>
      </c>
      <c r="M645" s="0" t="s">
        <v>20</v>
      </c>
      <c r="N645" s="0" t="s">
        <v>102</v>
      </c>
    </row>
    <row r="646" customFormat="false" ht="15" hidden="false" customHeight="false" outlineLevel="0" collapsed="false">
      <c r="A646" s="0" t="s">
        <v>1450</v>
      </c>
      <c r="B646" s="0" t="s">
        <v>814</v>
      </c>
      <c r="C646" s="0" t="s">
        <v>45</v>
      </c>
      <c r="D646" s="0" t="s">
        <v>46</v>
      </c>
      <c r="E646" s="0" t="s">
        <v>145</v>
      </c>
      <c r="F646" s="0" t="s">
        <v>346</v>
      </c>
      <c r="G646" s="0" t="n">
        <v>2350499</v>
      </c>
      <c r="H646" s="0" t="n">
        <v>54288</v>
      </c>
      <c r="I646" s="0" t="n">
        <v>12754</v>
      </c>
      <c r="J646" s="0" t="n">
        <v>14.7</v>
      </c>
      <c r="K646" s="0" t="n">
        <v>7</v>
      </c>
      <c r="L646" s="0" t="n">
        <v>535</v>
      </c>
      <c r="M646" s="0" t="s">
        <v>54</v>
      </c>
      <c r="N646" s="0" t="s">
        <v>102</v>
      </c>
    </row>
    <row r="647" customFormat="false" ht="15" hidden="false" customHeight="false" outlineLevel="0" collapsed="false">
      <c r="A647" s="0" t="s">
        <v>1451</v>
      </c>
      <c r="B647" s="0" t="s">
        <v>991</v>
      </c>
      <c r="C647" s="0" t="s">
        <v>1293</v>
      </c>
      <c r="D647" s="0" t="s">
        <v>109</v>
      </c>
      <c r="E647" s="0" t="s">
        <v>407</v>
      </c>
      <c r="F647" s="0" t="s">
        <v>314</v>
      </c>
      <c r="G647" s="0" t="n">
        <v>1047930</v>
      </c>
      <c r="H647" s="0" t="n">
        <v>29973</v>
      </c>
      <c r="I647" s="0" t="n">
        <v>8533</v>
      </c>
      <c r="J647" s="0" t="n">
        <v>39.3</v>
      </c>
      <c r="K647" s="0" t="n">
        <v>7</v>
      </c>
      <c r="L647" s="0" t="n">
        <v>527</v>
      </c>
      <c r="M647" s="0" t="s">
        <v>20</v>
      </c>
      <c r="N647" s="0" t="s">
        <v>140</v>
      </c>
    </row>
    <row r="648" customFormat="false" ht="15" hidden="false" customHeight="false" outlineLevel="0" collapsed="false">
      <c r="A648" s="0" t="s">
        <v>1452</v>
      </c>
      <c r="B648" s="0" t="s">
        <v>1453</v>
      </c>
      <c r="C648" s="0" t="s">
        <v>714</v>
      </c>
      <c r="D648" s="0" t="s">
        <v>46</v>
      </c>
      <c r="E648" s="0" t="s">
        <v>197</v>
      </c>
      <c r="F648" s="0" t="s">
        <v>451</v>
      </c>
      <c r="G648" s="0" t="n">
        <v>2071462</v>
      </c>
      <c r="H648" s="0" t="n">
        <v>62765</v>
      </c>
      <c r="I648" s="0" t="n">
        <v>16397</v>
      </c>
      <c r="J648" s="0" t="n">
        <v>50.9</v>
      </c>
      <c r="K648" s="0" t="n">
        <v>18</v>
      </c>
      <c r="L648" s="0" t="n">
        <v>384</v>
      </c>
      <c r="M648" s="0" t="s">
        <v>20</v>
      </c>
      <c r="N648" s="0" t="s">
        <v>96</v>
      </c>
    </row>
    <row r="649" customFormat="false" ht="15" hidden="false" customHeight="false" outlineLevel="0" collapsed="false">
      <c r="A649" s="0" t="s">
        <v>1454</v>
      </c>
      <c r="B649" s="0" t="s">
        <v>1455</v>
      </c>
      <c r="C649" s="0" t="s">
        <v>800</v>
      </c>
      <c r="D649" s="0" t="s">
        <v>25</v>
      </c>
      <c r="E649" s="0" t="s">
        <v>306</v>
      </c>
      <c r="F649" s="0" t="s">
        <v>451</v>
      </c>
      <c r="G649" s="0" t="n">
        <v>5173860</v>
      </c>
      <c r="H649" s="0" t="n">
        <v>135433</v>
      </c>
      <c r="I649" s="0" t="n">
        <v>52718</v>
      </c>
      <c r="J649" s="0" t="n">
        <v>52.2</v>
      </c>
      <c r="K649" s="0" t="n">
        <v>25</v>
      </c>
      <c r="L649" s="0" t="n">
        <v>233</v>
      </c>
      <c r="M649" s="0" t="s">
        <v>20</v>
      </c>
      <c r="N649" s="0" t="s">
        <v>55</v>
      </c>
    </row>
    <row r="650" customFormat="false" ht="15" hidden="false" customHeight="false" outlineLevel="0" collapsed="false">
      <c r="A650" s="0" t="s">
        <v>1456</v>
      </c>
      <c r="B650" s="0" t="s">
        <v>1226</v>
      </c>
      <c r="C650" s="0" t="s">
        <v>392</v>
      </c>
      <c r="D650" s="0" t="s">
        <v>39</v>
      </c>
      <c r="E650" s="0" t="s">
        <v>987</v>
      </c>
      <c r="F650" s="0" t="s">
        <v>48</v>
      </c>
      <c r="G650" s="0" t="n">
        <v>3345753</v>
      </c>
      <c r="H650" s="0" t="n">
        <v>140341</v>
      </c>
      <c r="I650" s="0" t="n">
        <v>32256</v>
      </c>
      <c r="J650" s="0" t="n">
        <v>9.7</v>
      </c>
      <c r="K650" s="0" t="n">
        <v>22</v>
      </c>
      <c r="L650" s="0" t="n">
        <v>746</v>
      </c>
      <c r="M650" s="0" t="s">
        <v>54</v>
      </c>
      <c r="N650" s="0" t="s">
        <v>55</v>
      </c>
    </row>
    <row r="651" customFormat="false" ht="15" hidden="false" customHeight="false" outlineLevel="0" collapsed="false">
      <c r="A651" s="0" t="s">
        <v>1457</v>
      </c>
      <c r="B651" s="0" t="s">
        <v>695</v>
      </c>
      <c r="C651" s="0" t="s">
        <v>1066</v>
      </c>
      <c r="D651" s="0" t="s">
        <v>71</v>
      </c>
      <c r="E651" s="0" t="s">
        <v>357</v>
      </c>
      <c r="F651" s="0" t="s">
        <v>270</v>
      </c>
      <c r="G651" s="0" t="n">
        <v>1171458</v>
      </c>
      <c r="H651" s="0" t="n">
        <v>39417</v>
      </c>
      <c r="I651" s="0" t="n">
        <v>11624</v>
      </c>
      <c r="J651" s="0" t="n">
        <v>9.4</v>
      </c>
      <c r="K651" s="0" t="n">
        <v>9</v>
      </c>
      <c r="L651" s="0" t="n">
        <v>590</v>
      </c>
      <c r="M651" s="0" t="s">
        <v>54</v>
      </c>
      <c r="N651" s="0" t="s">
        <v>67</v>
      </c>
    </row>
    <row r="652" customFormat="false" ht="15" hidden="false" customHeight="false" outlineLevel="0" collapsed="false">
      <c r="A652" s="0" t="s">
        <v>1458</v>
      </c>
      <c r="B652" s="0" t="s">
        <v>1000</v>
      </c>
      <c r="C652" s="0" t="s">
        <v>192</v>
      </c>
      <c r="D652" s="0" t="s">
        <v>78</v>
      </c>
      <c r="E652" s="0" t="s">
        <v>186</v>
      </c>
      <c r="F652" s="0" t="s">
        <v>80</v>
      </c>
      <c r="G652" s="0" t="n">
        <v>5282673</v>
      </c>
      <c r="H652" s="0" t="n">
        <v>191287</v>
      </c>
      <c r="I652" s="0" t="n">
        <v>43723</v>
      </c>
      <c r="J652" s="0" t="n">
        <v>31.2</v>
      </c>
      <c r="K652" s="0" t="n">
        <v>25</v>
      </c>
      <c r="L652" s="0" t="n">
        <v>589</v>
      </c>
      <c r="M652" s="0" t="s">
        <v>54</v>
      </c>
      <c r="N652" s="0" t="s">
        <v>102</v>
      </c>
    </row>
    <row r="653" customFormat="false" ht="15" hidden="false" customHeight="false" outlineLevel="0" collapsed="false">
      <c r="A653" s="0" t="s">
        <v>1459</v>
      </c>
      <c r="B653" s="0" t="s">
        <v>1460</v>
      </c>
      <c r="C653" s="0" t="s">
        <v>38</v>
      </c>
      <c r="D653" s="0" t="s">
        <v>46</v>
      </c>
      <c r="E653" s="0" t="s">
        <v>407</v>
      </c>
      <c r="F653" s="0" t="s">
        <v>116</v>
      </c>
      <c r="G653" s="0" t="n">
        <v>1302096</v>
      </c>
      <c r="H653" s="0" t="n">
        <v>31562</v>
      </c>
      <c r="I653" s="0" t="n">
        <v>7513</v>
      </c>
      <c r="J653" s="0" t="n">
        <v>25.4</v>
      </c>
      <c r="K653" s="0" t="n">
        <v>12</v>
      </c>
      <c r="L653" s="0" t="n">
        <v>160</v>
      </c>
      <c r="M653" s="0" t="s">
        <v>20</v>
      </c>
      <c r="N653" s="0" t="s">
        <v>28</v>
      </c>
    </row>
    <row r="654" customFormat="false" ht="15" hidden="false" customHeight="false" outlineLevel="0" collapsed="false">
      <c r="A654" s="0" t="s">
        <v>1461</v>
      </c>
      <c r="B654" s="0" t="s">
        <v>884</v>
      </c>
      <c r="C654" s="0" t="s">
        <v>867</v>
      </c>
      <c r="D654" s="0" t="s">
        <v>46</v>
      </c>
      <c r="E654" s="0" t="s">
        <v>26</v>
      </c>
      <c r="F654" s="0" t="s">
        <v>292</v>
      </c>
      <c r="G654" s="0" t="n">
        <v>1769680</v>
      </c>
      <c r="H654" s="0" t="n">
        <v>55805</v>
      </c>
      <c r="I654" s="0" t="n">
        <v>19807</v>
      </c>
      <c r="J654" s="0" t="n">
        <v>36.1</v>
      </c>
      <c r="K654" s="0" t="n">
        <v>7</v>
      </c>
      <c r="L654" s="0" t="n">
        <v>418</v>
      </c>
      <c r="M654" s="0" t="s">
        <v>54</v>
      </c>
      <c r="N654" s="0" t="s">
        <v>122</v>
      </c>
    </row>
    <row r="655" customFormat="false" ht="15" hidden="false" customHeight="false" outlineLevel="0" collapsed="false">
      <c r="A655" s="0" t="s">
        <v>1462</v>
      </c>
      <c r="B655" s="0" t="s">
        <v>1463</v>
      </c>
      <c r="C655" s="0" t="s">
        <v>913</v>
      </c>
      <c r="D655" s="0" t="s">
        <v>39</v>
      </c>
      <c r="E655" s="0" t="s">
        <v>130</v>
      </c>
      <c r="F655" s="0" t="s">
        <v>213</v>
      </c>
      <c r="G655" s="0" t="n">
        <v>2355346</v>
      </c>
      <c r="H655" s="0" t="n">
        <v>89415</v>
      </c>
      <c r="I655" s="0" t="n">
        <v>30956</v>
      </c>
      <c r="J655" s="0" t="n">
        <v>33.2</v>
      </c>
      <c r="K655" s="0" t="n">
        <v>5</v>
      </c>
      <c r="L655" s="0" t="n">
        <v>325</v>
      </c>
      <c r="M655" s="0" t="s">
        <v>20</v>
      </c>
      <c r="N655" s="0" t="s">
        <v>67</v>
      </c>
    </row>
    <row r="656" customFormat="false" ht="15" hidden="false" customHeight="false" outlineLevel="0" collapsed="false">
      <c r="A656" s="0" t="s">
        <v>1464</v>
      </c>
      <c r="B656" s="0" t="s">
        <v>412</v>
      </c>
      <c r="C656" s="0" t="s">
        <v>1014</v>
      </c>
      <c r="D656" s="0" t="s">
        <v>144</v>
      </c>
      <c r="E656" s="0" t="s">
        <v>60</v>
      </c>
      <c r="F656" s="0" t="s">
        <v>61</v>
      </c>
      <c r="G656" s="0" t="n">
        <v>1806198</v>
      </c>
      <c r="H656" s="0" t="n">
        <v>51834</v>
      </c>
      <c r="I656" s="0" t="n">
        <v>17330</v>
      </c>
      <c r="J656" s="0" t="n">
        <v>59.2</v>
      </c>
      <c r="K656" s="0" t="n">
        <v>9</v>
      </c>
      <c r="L656" s="0" t="n">
        <v>506</v>
      </c>
      <c r="M656" s="0" t="s">
        <v>20</v>
      </c>
      <c r="N656" s="0" t="s">
        <v>67</v>
      </c>
    </row>
    <row r="657" customFormat="false" ht="15" hidden="false" customHeight="false" outlineLevel="0" collapsed="false">
      <c r="A657" s="0" t="s">
        <v>1465</v>
      </c>
      <c r="B657" s="0" t="s">
        <v>1466</v>
      </c>
      <c r="C657" s="0" t="s">
        <v>691</v>
      </c>
      <c r="D657" s="0" t="s">
        <v>59</v>
      </c>
      <c r="E657" s="0" t="s">
        <v>679</v>
      </c>
      <c r="F657" s="0" t="s">
        <v>205</v>
      </c>
      <c r="G657" s="0" t="n">
        <v>3270815</v>
      </c>
      <c r="H657" s="0" t="n">
        <v>160199</v>
      </c>
      <c r="I657" s="0" t="n">
        <v>33990</v>
      </c>
      <c r="J657" s="0" t="n">
        <v>25.6</v>
      </c>
      <c r="K657" s="0" t="n">
        <v>15</v>
      </c>
      <c r="L657" s="0" t="n">
        <v>228</v>
      </c>
      <c r="M657" s="0" t="s">
        <v>54</v>
      </c>
      <c r="N657" s="0" t="s">
        <v>28</v>
      </c>
    </row>
    <row r="658" customFormat="false" ht="15" hidden="false" customHeight="false" outlineLevel="0" collapsed="false">
      <c r="A658" s="0" t="s">
        <v>1467</v>
      </c>
      <c r="B658" s="0" t="s">
        <v>482</v>
      </c>
      <c r="C658" s="0" t="s">
        <v>201</v>
      </c>
      <c r="D658" s="0" t="s">
        <v>144</v>
      </c>
      <c r="E658" s="0" t="s">
        <v>61</v>
      </c>
      <c r="F658" s="0" t="s">
        <v>100</v>
      </c>
      <c r="G658" s="0" t="n">
        <v>1376884</v>
      </c>
      <c r="H658" s="0" t="n">
        <v>34061</v>
      </c>
      <c r="I658" s="0" t="n">
        <v>12903</v>
      </c>
      <c r="J658" s="0" t="n">
        <v>29.6</v>
      </c>
      <c r="K658" s="0" t="n">
        <v>8</v>
      </c>
      <c r="L658" s="0" t="n">
        <v>168</v>
      </c>
      <c r="M658" s="0" t="s">
        <v>35</v>
      </c>
      <c r="N658" s="0" t="s">
        <v>42</v>
      </c>
    </row>
    <row r="659" customFormat="false" ht="15" hidden="false" customHeight="false" outlineLevel="0" collapsed="false">
      <c r="A659" s="0" t="s">
        <v>1468</v>
      </c>
      <c r="B659" s="0" t="s">
        <v>395</v>
      </c>
      <c r="C659" s="0" t="s">
        <v>45</v>
      </c>
      <c r="D659" s="0" t="s">
        <v>46</v>
      </c>
      <c r="E659" s="0" t="s">
        <v>238</v>
      </c>
      <c r="F659" s="0" t="s">
        <v>314</v>
      </c>
      <c r="G659" s="0" t="n">
        <v>1270687</v>
      </c>
      <c r="H659" s="0" t="n">
        <v>47476</v>
      </c>
      <c r="I659" s="0" t="n">
        <v>14297</v>
      </c>
      <c r="J659" s="0" t="n">
        <v>59.9</v>
      </c>
      <c r="K659" s="0" t="n">
        <v>15</v>
      </c>
      <c r="L659" s="0" t="n">
        <v>424</v>
      </c>
      <c r="M659" s="0" t="s">
        <v>54</v>
      </c>
      <c r="N659" s="0" t="s">
        <v>42</v>
      </c>
    </row>
    <row r="660" customFormat="false" ht="15" hidden="false" customHeight="false" outlineLevel="0" collapsed="false">
      <c r="A660" s="0" t="s">
        <v>1469</v>
      </c>
      <c r="B660" s="0" t="s">
        <v>1470</v>
      </c>
      <c r="C660" s="0" t="s">
        <v>899</v>
      </c>
      <c r="D660" s="0" t="s">
        <v>144</v>
      </c>
      <c r="E660" s="0" t="s">
        <v>257</v>
      </c>
      <c r="F660" s="0" t="s">
        <v>539</v>
      </c>
      <c r="G660" s="0" t="n">
        <v>2110263</v>
      </c>
      <c r="H660" s="0" t="n">
        <v>57468</v>
      </c>
      <c r="I660" s="0" t="n">
        <v>11535</v>
      </c>
      <c r="J660" s="0" t="n">
        <v>28.1</v>
      </c>
      <c r="K660" s="0" t="n">
        <v>5</v>
      </c>
      <c r="L660" s="0" t="n">
        <v>587</v>
      </c>
      <c r="M660" s="0" t="s">
        <v>35</v>
      </c>
      <c r="N660" s="0" t="s">
        <v>81</v>
      </c>
    </row>
    <row r="661" customFormat="false" ht="15" hidden="false" customHeight="false" outlineLevel="0" collapsed="false">
      <c r="A661" s="0" t="s">
        <v>1471</v>
      </c>
      <c r="B661" s="0" t="s">
        <v>1472</v>
      </c>
      <c r="C661" s="0" t="s">
        <v>180</v>
      </c>
      <c r="D661" s="0" t="s">
        <v>25</v>
      </c>
      <c r="E661" s="0" t="s">
        <v>407</v>
      </c>
      <c r="F661" s="0" t="s">
        <v>389</v>
      </c>
      <c r="G661" s="0" t="n">
        <v>2432786</v>
      </c>
      <c r="H661" s="0" t="n">
        <v>77085</v>
      </c>
      <c r="I661" s="0" t="n">
        <v>27894</v>
      </c>
      <c r="J661" s="0" t="n">
        <v>52</v>
      </c>
      <c r="K661" s="0" t="n">
        <v>15</v>
      </c>
      <c r="L661" s="0" t="n">
        <v>800</v>
      </c>
      <c r="M661" s="0" t="s">
        <v>20</v>
      </c>
      <c r="N661" s="0" t="s">
        <v>140</v>
      </c>
    </row>
    <row r="662" customFormat="false" ht="15" hidden="false" customHeight="false" outlineLevel="0" collapsed="false">
      <c r="A662" s="0" t="s">
        <v>1473</v>
      </c>
      <c r="B662" s="0" t="s">
        <v>1474</v>
      </c>
      <c r="C662" s="0" t="s">
        <v>661</v>
      </c>
      <c r="D662" s="0" t="s">
        <v>71</v>
      </c>
      <c r="E662" s="0" t="s">
        <v>353</v>
      </c>
      <c r="F662" s="0" t="s">
        <v>101</v>
      </c>
      <c r="G662" s="0" t="n">
        <v>1488353</v>
      </c>
      <c r="H662" s="0" t="n">
        <v>32591</v>
      </c>
      <c r="I662" s="0" t="n">
        <v>7848</v>
      </c>
      <c r="J662" s="0" t="n">
        <v>24.9</v>
      </c>
      <c r="K662" s="0" t="n">
        <v>8</v>
      </c>
      <c r="L662" s="0" t="n">
        <v>303</v>
      </c>
      <c r="M662" s="0" t="s">
        <v>54</v>
      </c>
      <c r="N662" s="0" t="s">
        <v>122</v>
      </c>
    </row>
    <row r="663" customFormat="false" ht="15" hidden="false" customHeight="false" outlineLevel="0" collapsed="false">
      <c r="A663" s="0" t="s">
        <v>1475</v>
      </c>
      <c r="B663" s="0" t="s">
        <v>1476</v>
      </c>
      <c r="C663" s="0" t="s">
        <v>119</v>
      </c>
      <c r="D663" s="0" t="s">
        <v>25</v>
      </c>
      <c r="E663" s="0" t="s">
        <v>451</v>
      </c>
      <c r="F663" s="0" t="s">
        <v>158</v>
      </c>
      <c r="G663" s="0" t="n">
        <v>2712840</v>
      </c>
      <c r="H663" s="0" t="n">
        <v>111641</v>
      </c>
      <c r="I663" s="0" t="n">
        <v>23275</v>
      </c>
      <c r="J663" s="0" t="n">
        <v>54.9</v>
      </c>
      <c r="K663" s="0" t="n">
        <v>7</v>
      </c>
      <c r="L663" s="0" t="n">
        <v>777</v>
      </c>
      <c r="M663" s="0" t="s">
        <v>54</v>
      </c>
      <c r="N663" s="0" t="s">
        <v>122</v>
      </c>
    </row>
    <row r="664" customFormat="false" ht="15" hidden="false" customHeight="false" outlineLevel="0" collapsed="false">
      <c r="A664" s="0" t="s">
        <v>1477</v>
      </c>
      <c r="B664" s="0" t="s">
        <v>826</v>
      </c>
      <c r="C664" s="0" t="s">
        <v>385</v>
      </c>
      <c r="D664" s="0" t="s">
        <v>109</v>
      </c>
      <c r="E664" s="0" t="s">
        <v>265</v>
      </c>
      <c r="F664" s="0" t="s">
        <v>357</v>
      </c>
      <c r="G664" s="0" t="n">
        <v>1968690</v>
      </c>
      <c r="H664" s="0" t="n">
        <v>55011</v>
      </c>
      <c r="I664" s="0" t="n">
        <v>17774</v>
      </c>
      <c r="J664" s="0" t="n">
        <v>6.8</v>
      </c>
      <c r="K664" s="0" t="n">
        <v>18</v>
      </c>
      <c r="L664" s="0" t="n">
        <v>160</v>
      </c>
      <c r="M664" s="0" t="s">
        <v>20</v>
      </c>
      <c r="N664" s="0" t="s">
        <v>55</v>
      </c>
    </row>
    <row r="665" customFormat="false" ht="15" hidden="false" customHeight="false" outlineLevel="0" collapsed="false">
      <c r="A665" s="0" t="s">
        <v>1478</v>
      </c>
      <c r="B665" s="0" t="s">
        <v>936</v>
      </c>
      <c r="C665" s="0" t="s">
        <v>256</v>
      </c>
      <c r="D665" s="0" t="s">
        <v>46</v>
      </c>
      <c r="E665" s="0" t="s">
        <v>177</v>
      </c>
      <c r="F665" s="0" t="s">
        <v>407</v>
      </c>
      <c r="G665" s="0" t="n">
        <v>2340270</v>
      </c>
      <c r="H665" s="0" t="n">
        <v>56898</v>
      </c>
      <c r="I665" s="0" t="n">
        <v>21893</v>
      </c>
      <c r="J665" s="0" t="n">
        <v>55.1</v>
      </c>
      <c r="K665" s="0" t="n">
        <v>12</v>
      </c>
      <c r="L665" s="0" t="n">
        <v>589</v>
      </c>
      <c r="M665" s="0" t="s">
        <v>54</v>
      </c>
      <c r="N665" s="0" t="s">
        <v>42</v>
      </c>
    </row>
    <row r="666" customFormat="false" ht="15" hidden="false" customHeight="false" outlineLevel="0" collapsed="false">
      <c r="A666" s="0" t="s">
        <v>1479</v>
      </c>
      <c r="B666" s="0" t="s">
        <v>794</v>
      </c>
      <c r="C666" s="0" t="s">
        <v>324</v>
      </c>
      <c r="D666" s="0" t="s">
        <v>32</v>
      </c>
      <c r="E666" s="0" t="s">
        <v>168</v>
      </c>
      <c r="F666" s="0" t="s">
        <v>321</v>
      </c>
      <c r="G666" s="0" t="n">
        <v>6167486</v>
      </c>
      <c r="H666" s="0" t="n">
        <v>215469</v>
      </c>
      <c r="I666" s="0" t="n">
        <v>65252</v>
      </c>
      <c r="J666" s="0" t="n">
        <v>14.3</v>
      </c>
      <c r="K666" s="0" t="n">
        <v>17</v>
      </c>
      <c r="L666" s="0" t="n">
        <v>634</v>
      </c>
      <c r="M666" s="0" t="s">
        <v>20</v>
      </c>
      <c r="N666" s="0" t="s">
        <v>67</v>
      </c>
    </row>
    <row r="667" customFormat="false" ht="15" hidden="false" customHeight="false" outlineLevel="0" collapsed="false">
      <c r="A667" s="0" t="s">
        <v>1480</v>
      </c>
      <c r="B667" s="0" t="s">
        <v>1481</v>
      </c>
      <c r="C667" s="0" t="s">
        <v>388</v>
      </c>
      <c r="D667" s="0" t="s">
        <v>78</v>
      </c>
      <c r="E667" s="0" t="s">
        <v>110</v>
      </c>
      <c r="F667" s="0" t="s">
        <v>241</v>
      </c>
      <c r="G667" s="0" t="n">
        <v>4163805</v>
      </c>
      <c r="H667" s="0" t="n">
        <v>119381</v>
      </c>
      <c r="I667" s="0" t="n">
        <v>36015</v>
      </c>
      <c r="J667" s="0" t="n">
        <v>52.8</v>
      </c>
      <c r="K667" s="0" t="n">
        <v>17</v>
      </c>
      <c r="L667" s="0" t="n">
        <v>641</v>
      </c>
      <c r="M667" s="0" t="s">
        <v>20</v>
      </c>
      <c r="N667" s="0" t="s">
        <v>28</v>
      </c>
    </row>
    <row r="668" customFormat="false" ht="15" hidden="false" customHeight="false" outlineLevel="0" collapsed="false">
      <c r="A668" s="0" t="s">
        <v>1482</v>
      </c>
      <c r="B668" s="0" t="s">
        <v>520</v>
      </c>
      <c r="C668" s="0" t="s">
        <v>523</v>
      </c>
      <c r="D668" s="0" t="s">
        <v>89</v>
      </c>
      <c r="E668" s="0" t="s">
        <v>138</v>
      </c>
      <c r="F668" s="0" t="s">
        <v>153</v>
      </c>
      <c r="G668" s="0" t="n">
        <v>1822142</v>
      </c>
      <c r="H668" s="0" t="n">
        <v>52219</v>
      </c>
      <c r="I668" s="0" t="n">
        <v>15832</v>
      </c>
      <c r="J668" s="0" t="n">
        <v>39.2</v>
      </c>
      <c r="K668" s="0" t="n">
        <v>10</v>
      </c>
      <c r="L668" s="0" t="n">
        <v>581</v>
      </c>
      <c r="M668" s="0" t="s">
        <v>54</v>
      </c>
      <c r="N668" s="0" t="s">
        <v>42</v>
      </c>
    </row>
    <row r="669" customFormat="false" ht="15" hidden="false" customHeight="false" outlineLevel="0" collapsed="false">
      <c r="A669" s="0" t="s">
        <v>1483</v>
      </c>
      <c r="B669" s="0" t="s">
        <v>491</v>
      </c>
      <c r="C669" s="0" t="s">
        <v>787</v>
      </c>
      <c r="D669" s="0" t="s">
        <v>109</v>
      </c>
      <c r="E669" s="0" t="s">
        <v>47</v>
      </c>
      <c r="F669" s="0" t="s">
        <v>48</v>
      </c>
      <c r="G669" s="0" t="n">
        <v>1763771</v>
      </c>
      <c r="H669" s="0" t="n">
        <v>45753</v>
      </c>
      <c r="I669" s="0" t="n">
        <v>16291</v>
      </c>
      <c r="J669" s="0" t="n">
        <v>40.4</v>
      </c>
      <c r="K669" s="0" t="n">
        <v>7</v>
      </c>
      <c r="L669" s="0" t="n">
        <v>381</v>
      </c>
      <c r="M669" s="0" t="s">
        <v>54</v>
      </c>
      <c r="N669" s="0" t="s">
        <v>81</v>
      </c>
    </row>
    <row r="670" customFormat="false" ht="15" hidden="false" customHeight="false" outlineLevel="0" collapsed="false">
      <c r="A670" s="0" t="s">
        <v>1484</v>
      </c>
      <c r="B670" s="0" t="s">
        <v>1149</v>
      </c>
      <c r="C670" s="0" t="s">
        <v>944</v>
      </c>
      <c r="D670" s="0" t="s">
        <v>144</v>
      </c>
      <c r="E670" s="0" t="s">
        <v>33</v>
      </c>
      <c r="F670" s="0" t="s">
        <v>34</v>
      </c>
      <c r="G670" s="0" t="n">
        <v>2301729</v>
      </c>
      <c r="H670" s="0" t="n">
        <v>54152</v>
      </c>
      <c r="I670" s="0" t="n">
        <v>16198</v>
      </c>
      <c r="J670" s="0" t="n">
        <v>51.4</v>
      </c>
      <c r="K670" s="0" t="n">
        <v>7</v>
      </c>
      <c r="L670" s="0" t="n">
        <v>636</v>
      </c>
      <c r="M670" s="0" t="s">
        <v>54</v>
      </c>
      <c r="N670" s="0" t="s">
        <v>21</v>
      </c>
    </row>
    <row r="671" customFormat="false" ht="15" hidden="false" customHeight="false" outlineLevel="0" collapsed="false">
      <c r="A671" s="0" t="s">
        <v>1485</v>
      </c>
      <c r="B671" s="0" t="s">
        <v>1486</v>
      </c>
      <c r="C671" s="0" t="s">
        <v>175</v>
      </c>
      <c r="D671" s="0" t="s">
        <v>89</v>
      </c>
      <c r="E671" s="0" t="s">
        <v>237</v>
      </c>
      <c r="F671" s="0" t="s">
        <v>407</v>
      </c>
      <c r="G671" s="0" t="n">
        <v>1337111</v>
      </c>
      <c r="H671" s="0" t="n">
        <v>42183</v>
      </c>
      <c r="I671" s="0" t="n">
        <v>9805</v>
      </c>
      <c r="J671" s="0" t="n">
        <v>42.8</v>
      </c>
      <c r="K671" s="0" t="n">
        <v>21</v>
      </c>
      <c r="L671" s="0" t="n">
        <v>152</v>
      </c>
      <c r="M671" s="0" t="s">
        <v>20</v>
      </c>
      <c r="N671" s="0" t="s">
        <v>122</v>
      </c>
    </row>
    <row r="672" customFormat="false" ht="15" hidden="false" customHeight="false" outlineLevel="0" collapsed="false">
      <c r="A672" s="0" t="s">
        <v>1487</v>
      </c>
      <c r="B672" s="0" t="s">
        <v>1420</v>
      </c>
      <c r="C672" s="0" t="s">
        <v>371</v>
      </c>
      <c r="D672" s="0" t="s">
        <v>89</v>
      </c>
      <c r="E672" s="0" t="s">
        <v>130</v>
      </c>
      <c r="F672" s="0" t="s">
        <v>756</v>
      </c>
      <c r="G672" s="0" t="n">
        <v>1486832</v>
      </c>
      <c r="H672" s="0" t="n">
        <v>47211</v>
      </c>
      <c r="I672" s="0" t="n">
        <v>13200</v>
      </c>
      <c r="J672" s="0" t="n">
        <v>30.5</v>
      </c>
      <c r="K672" s="0" t="n">
        <v>10</v>
      </c>
      <c r="L672" s="0" t="n">
        <v>642</v>
      </c>
      <c r="M672" s="0" t="s">
        <v>20</v>
      </c>
      <c r="N672" s="0" t="s">
        <v>81</v>
      </c>
    </row>
    <row r="673" customFormat="false" ht="15" hidden="false" customHeight="false" outlineLevel="0" collapsed="false">
      <c r="A673" s="0" t="s">
        <v>1488</v>
      </c>
      <c r="B673" s="0" t="s">
        <v>1489</v>
      </c>
      <c r="C673" s="0" t="s">
        <v>1063</v>
      </c>
      <c r="D673" s="0" t="s">
        <v>32</v>
      </c>
      <c r="E673" s="0" t="s">
        <v>27</v>
      </c>
      <c r="F673" s="0" t="s">
        <v>214</v>
      </c>
      <c r="G673" s="0" t="n">
        <v>6484489</v>
      </c>
      <c r="H673" s="0" t="n">
        <v>306513</v>
      </c>
      <c r="I673" s="0" t="n">
        <v>70838</v>
      </c>
      <c r="J673" s="0" t="n">
        <v>19.3</v>
      </c>
      <c r="K673" s="0" t="n">
        <v>21</v>
      </c>
      <c r="L673" s="0" t="n">
        <v>493</v>
      </c>
      <c r="M673" s="0" t="s">
        <v>35</v>
      </c>
      <c r="N673" s="0" t="s">
        <v>140</v>
      </c>
    </row>
    <row r="674" customFormat="false" ht="15" hidden="false" customHeight="false" outlineLevel="0" collapsed="false">
      <c r="A674" s="0" t="s">
        <v>1490</v>
      </c>
      <c r="B674" s="0" t="s">
        <v>1445</v>
      </c>
      <c r="C674" s="0" t="s">
        <v>401</v>
      </c>
      <c r="D674" s="0" t="s">
        <v>25</v>
      </c>
      <c r="E674" s="0" t="s">
        <v>233</v>
      </c>
      <c r="F674" s="0" t="s">
        <v>100</v>
      </c>
      <c r="G674" s="0" t="n">
        <v>2888879</v>
      </c>
      <c r="H674" s="0" t="n">
        <v>96433</v>
      </c>
      <c r="I674" s="0" t="n">
        <v>30256</v>
      </c>
      <c r="J674" s="0" t="n">
        <v>16.2</v>
      </c>
      <c r="K674" s="0" t="n">
        <v>7</v>
      </c>
      <c r="L674" s="0" t="n">
        <v>260</v>
      </c>
      <c r="M674" s="0" t="s">
        <v>35</v>
      </c>
      <c r="N674" s="0" t="s">
        <v>21</v>
      </c>
    </row>
    <row r="675" customFormat="false" ht="15" hidden="false" customHeight="false" outlineLevel="0" collapsed="false">
      <c r="A675" s="0" t="s">
        <v>1491</v>
      </c>
      <c r="B675" s="0" t="s">
        <v>1492</v>
      </c>
      <c r="C675" s="0" t="s">
        <v>529</v>
      </c>
      <c r="D675" s="0" t="s">
        <v>78</v>
      </c>
      <c r="E675" s="0" t="s">
        <v>182</v>
      </c>
      <c r="F675" s="0" t="s">
        <v>1038</v>
      </c>
      <c r="G675" s="0" t="n">
        <v>2415466</v>
      </c>
      <c r="H675" s="0" t="n">
        <v>84725</v>
      </c>
      <c r="I675" s="0" t="n">
        <v>30911</v>
      </c>
      <c r="J675" s="0" t="n">
        <v>43</v>
      </c>
      <c r="K675" s="0" t="n">
        <v>23</v>
      </c>
      <c r="L675" s="0" t="n">
        <v>575</v>
      </c>
      <c r="M675" s="0" t="s">
        <v>20</v>
      </c>
      <c r="N675" s="0" t="s">
        <v>21</v>
      </c>
    </row>
    <row r="676" customFormat="false" ht="15" hidden="false" customHeight="false" outlineLevel="0" collapsed="false">
      <c r="A676" s="0" t="s">
        <v>1493</v>
      </c>
      <c r="B676" s="0" t="s">
        <v>1494</v>
      </c>
      <c r="C676" s="0" t="s">
        <v>782</v>
      </c>
      <c r="D676" s="0" t="s">
        <v>78</v>
      </c>
      <c r="E676" s="0" t="s">
        <v>248</v>
      </c>
      <c r="F676" s="0" t="s">
        <v>306</v>
      </c>
      <c r="G676" s="0" t="n">
        <v>2317255</v>
      </c>
      <c r="H676" s="0" t="n">
        <v>65643</v>
      </c>
      <c r="I676" s="0" t="n">
        <v>23708</v>
      </c>
      <c r="J676" s="0" t="n">
        <v>29.7</v>
      </c>
      <c r="K676" s="0" t="n">
        <v>20</v>
      </c>
      <c r="L676" s="0" t="n">
        <v>374</v>
      </c>
      <c r="M676" s="0" t="s">
        <v>20</v>
      </c>
      <c r="N676" s="0" t="s">
        <v>28</v>
      </c>
    </row>
    <row r="677" customFormat="false" ht="15" hidden="false" customHeight="false" outlineLevel="0" collapsed="false">
      <c r="A677" s="0" t="s">
        <v>1495</v>
      </c>
      <c r="B677" s="0" t="s">
        <v>1496</v>
      </c>
      <c r="C677" s="0" t="s">
        <v>398</v>
      </c>
      <c r="D677" s="0" t="s">
        <v>46</v>
      </c>
      <c r="E677" s="0" t="s">
        <v>120</v>
      </c>
      <c r="F677" s="0" t="s">
        <v>204</v>
      </c>
      <c r="G677" s="0" t="n">
        <v>1510417</v>
      </c>
      <c r="H677" s="0" t="n">
        <v>45203</v>
      </c>
      <c r="I677" s="0" t="n">
        <v>10649</v>
      </c>
      <c r="J677" s="0" t="n">
        <v>12.1</v>
      </c>
      <c r="K677" s="0" t="n">
        <v>19</v>
      </c>
      <c r="L677" s="0" t="n">
        <v>240</v>
      </c>
      <c r="M677" s="0" t="s">
        <v>35</v>
      </c>
      <c r="N677" s="0" t="s">
        <v>169</v>
      </c>
    </row>
    <row r="678" customFormat="false" ht="15" hidden="false" customHeight="false" outlineLevel="0" collapsed="false">
      <c r="A678" s="0" t="s">
        <v>1497</v>
      </c>
      <c r="B678" s="0" t="s">
        <v>264</v>
      </c>
      <c r="C678" s="0" t="s">
        <v>701</v>
      </c>
      <c r="D678" s="0" t="s">
        <v>78</v>
      </c>
      <c r="E678" s="0" t="s">
        <v>1038</v>
      </c>
      <c r="F678" s="0" t="s">
        <v>289</v>
      </c>
      <c r="G678" s="0" t="n">
        <v>4581219</v>
      </c>
      <c r="H678" s="0" t="n">
        <v>184630</v>
      </c>
      <c r="I678" s="0" t="n">
        <v>57957</v>
      </c>
      <c r="J678" s="0" t="n">
        <v>8.4</v>
      </c>
      <c r="K678" s="0" t="n">
        <v>5</v>
      </c>
      <c r="L678" s="0" t="n">
        <v>385</v>
      </c>
      <c r="M678" s="0" t="s">
        <v>54</v>
      </c>
      <c r="N678" s="0" t="s">
        <v>102</v>
      </c>
    </row>
    <row r="679" customFormat="false" ht="15" hidden="false" customHeight="false" outlineLevel="0" collapsed="false">
      <c r="A679" s="0" t="s">
        <v>1498</v>
      </c>
      <c r="B679" s="0" t="s">
        <v>374</v>
      </c>
      <c r="C679" s="0" t="s">
        <v>232</v>
      </c>
      <c r="D679" s="0" t="s">
        <v>39</v>
      </c>
      <c r="E679" s="0" t="s">
        <v>269</v>
      </c>
      <c r="F679" s="0" t="s">
        <v>302</v>
      </c>
      <c r="G679" s="0" t="n">
        <v>1699572</v>
      </c>
      <c r="H679" s="0" t="n">
        <v>80736</v>
      </c>
      <c r="I679" s="0" t="n">
        <v>18476</v>
      </c>
      <c r="J679" s="0" t="n">
        <v>49.7</v>
      </c>
      <c r="K679" s="0" t="n">
        <v>7</v>
      </c>
      <c r="L679" s="0" t="n">
        <v>366</v>
      </c>
      <c r="M679" s="0" t="s">
        <v>20</v>
      </c>
      <c r="N679" s="0" t="s">
        <v>81</v>
      </c>
    </row>
    <row r="680" customFormat="false" ht="15" hidden="false" customHeight="false" outlineLevel="0" collapsed="false">
      <c r="A680" s="0" t="s">
        <v>1499</v>
      </c>
      <c r="B680" s="0" t="s">
        <v>414</v>
      </c>
      <c r="C680" s="0" t="s">
        <v>401</v>
      </c>
      <c r="D680" s="0" t="s">
        <v>109</v>
      </c>
      <c r="E680" s="0" t="s">
        <v>73</v>
      </c>
      <c r="F680" s="0" t="s">
        <v>214</v>
      </c>
      <c r="G680" s="0" t="n">
        <v>1356978</v>
      </c>
      <c r="H680" s="0" t="n">
        <v>49726</v>
      </c>
      <c r="I680" s="0" t="n">
        <v>15663</v>
      </c>
      <c r="J680" s="0" t="n">
        <v>21.6</v>
      </c>
      <c r="K680" s="0" t="n">
        <v>12</v>
      </c>
      <c r="L680" s="0" t="n">
        <v>790</v>
      </c>
      <c r="M680" s="0" t="s">
        <v>54</v>
      </c>
      <c r="N680" s="0" t="s">
        <v>21</v>
      </c>
    </row>
    <row r="681" customFormat="false" ht="15" hidden="false" customHeight="false" outlineLevel="0" collapsed="false">
      <c r="A681" s="0" t="s">
        <v>1500</v>
      </c>
      <c r="B681" s="0" t="s">
        <v>366</v>
      </c>
      <c r="C681" s="0" t="s">
        <v>105</v>
      </c>
      <c r="D681" s="0" t="s">
        <v>78</v>
      </c>
      <c r="E681" s="0" t="s">
        <v>130</v>
      </c>
      <c r="F681" s="0" t="s">
        <v>756</v>
      </c>
      <c r="G681" s="0" t="n">
        <v>5249527</v>
      </c>
      <c r="H681" s="0" t="n">
        <v>160160</v>
      </c>
      <c r="I681" s="0" t="n">
        <v>35850</v>
      </c>
      <c r="J681" s="0" t="n">
        <v>15</v>
      </c>
      <c r="K681" s="0" t="n">
        <v>19</v>
      </c>
      <c r="L681" s="0" t="n">
        <v>754</v>
      </c>
      <c r="M681" s="0" t="s">
        <v>54</v>
      </c>
      <c r="N681" s="0" t="s">
        <v>122</v>
      </c>
    </row>
    <row r="682" customFormat="false" ht="15" hidden="false" customHeight="false" outlineLevel="0" collapsed="false">
      <c r="A682" s="0" t="s">
        <v>1501</v>
      </c>
      <c r="B682" s="0" t="s">
        <v>1502</v>
      </c>
      <c r="C682" s="0" t="s">
        <v>1142</v>
      </c>
      <c r="D682" s="0" t="s">
        <v>39</v>
      </c>
      <c r="E682" s="0" t="s">
        <v>177</v>
      </c>
      <c r="F682" s="0" t="s">
        <v>422</v>
      </c>
      <c r="G682" s="0" t="n">
        <v>2833658</v>
      </c>
      <c r="H682" s="0" t="n">
        <v>113206</v>
      </c>
      <c r="I682" s="0" t="n">
        <v>33920</v>
      </c>
      <c r="J682" s="0" t="n">
        <v>45.5</v>
      </c>
      <c r="K682" s="0" t="n">
        <v>23</v>
      </c>
      <c r="L682" s="0" t="n">
        <v>777</v>
      </c>
      <c r="M682" s="0" t="s">
        <v>35</v>
      </c>
      <c r="N682" s="0" t="s">
        <v>96</v>
      </c>
    </row>
    <row r="683" customFormat="false" ht="15" hidden="false" customHeight="false" outlineLevel="0" collapsed="false">
      <c r="A683" s="0" t="s">
        <v>1503</v>
      </c>
      <c r="B683" s="0" t="s">
        <v>468</v>
      </c>
      <c r="C683" s="0" t="s">
        <v>388</v>
      </c>
      <c r="D683" s="0" t="s">
        <v>89</v>
      </c>
      <c r="E683" s="0" t="s">
        <v>788</v>
      </c>
      <c r="F683" s="0" t="s">
        <v>186</v>
      </c>
      <c r="G683" s="0" t="n">
        <v>1636059</v>
      </c>
      <c r="H683" s="0" t="n">
        <v>46199</v>
      </c>
      <c r="I683" s="0" t="n">
        <v>13418</v>
      </c>
      <c r="J683" s="0" t="n">
        <v>39.8</v>
      </c>
      <c r="K683" s="0" t="n">
        <v>23</v>
      </c>
      <c r="L683" s="0" t="n">
        <v>766</v>
      </c>
      <c r="M683" s="0" t="s">
        <v>54</v>
      </c>
      <c r="N683" s="0" t="s">
        <v>74</v>
      </c>
    </row>
    <row r="684" customFormat="false" ht="15" hidden="false" customHeight="false" outlineLevel="0" collapsed="false">
      <c r="A684" s="0" t="s">
        <v>1504</v>
      </c>
      <c r="B684" s="0" t="s">
        <v>331</v>
      </c>
      <c r="C684" s="0" t="s">
        <v>401</v>
      </c>
      <c r="D684" s="0" t="s">
        <v>109</v>
      </c>
      <c r="E684" s="0" t="s">
        <v>380</v>
      </c>
      <c r="F684" s="0" t="s">
        <v>262</v>
      </c>
      <c r="G684" s="0" t="n">
        <v>2081022</v>
      </c>
      <c r="H684" s="0" t="n">
        <v>56594</v>
      </c>
      <c r="I684" s="0" t="n">
        <v>19569</v>
      </c>
      <c r="J684" s="0" t="n">
        <v>47</v>
      </c>
      <c r="K684" s="0" t="n">
        <v>11</v>
      </c>
      <c r="L684" s="0" t="n">
        <v>203</v>
      </c>
      <c r="M684" s="0" t="s">
        <v>20</v>
      </c>
      <c r="N684" s="0" t="s">
        <v>28</v>
      </c>
    </row>
    <row r="685" customFormat="false" ht="15" hidden="false" customHeight="false" outlineLevel="0" collapsed="false">
      <c r="A685" s="0" t="s">
        <v>1505</v>
      </c>
      <c r="B685" s="0" t="s">
        <v>188</v>
      </c>
      <c r="C685" s="0" t="s">
        <v>185</v>
      </c>
      <c r="D685" s="0" t="s">
        <v>109</v>
      </c>
      <c r="E685" s="0" t="s">
        <v>145</v>
      </c>
      <c r="F685" s="0" t="s">
        <v>121</v>
      </c>
      <c r="G685" s="0" t="n">
        <v>1530699</v>
      </c>
      <c r="H685" s="0" t="n">
        <v>42781</v>
      </c>
      <c r="I685" s="0" t="n">
        <v>8485</v>
      </c>
      <c r="J685" s="0" t="n">
        <v>5.8</v>
      </c>
      <c r="K685" s="0" t="n">
        <v>9</v>
      </c>
      <c r="L685" s="0" t="n">
        <v>659</v>
      </c>
      <c r="M685" s="0" t="s">
        <v>20</v>
      </c>
      <c r="N685" s="0" t="s">
        <v>55</v>
      </c>
    </row>
    <row r="686" customFormat="false" ht="15" hidden="false" customHeight="false" outlineLevel="0" collapsed="false">
      <c r="A686" s="0" t="s">
        <v>1506</v>
      </c>
      <c r="B686" s="0" t="s">
        <v>1248</v>
      </c>
      <c r="C686" s="0" t="s">
        <v>561</v>
      </c>
      <c r="D686" s="0" t="s">
        <v>25</v>
      </c>
      <c r="E686" s="0" t="s">
        <v>666</v>
      </c>
      <c r="F686" s="0" t="s">
        <v>181</v>
      </c>
      <c r="G686" s="0" t="n">
        <v>3808066</v>
      </c>
      <c r="H686" s="0" t="n">
        <v>125081</v>
      </c>
      <c r="I686" s="0" t="n">
        <v>41641</v>
      </c>
      <c r="J686" s="0" t="n">
        <v>31.6</v>
      </c>
      <c r="K686" s="0" t="n">
        <v>14</v>
      </c>
      <c r="L686" s="0" t="n">
        <v>360</v>
      </c>
      <c r="M686" s="0" t="s">
        <v>54</v>
      </c>
      <c r="N686" s="0" t="s">
        <v>96</v>
      </c>
    </row>
    <row r="687" customFormat="false" ht="15" hidden="false" customHeight="false" outlineLevel="0" collapsed="false">
      <c r="A687" s="0" t="s">
        <v>1507</v>
      </c>
      <c r="B687" s="0" t="s">
        <v>1508</v>
      </c>
      <c r="C687" s="0" t="s">
        <v>1106</v>
      </c>
      <c r="D687" s="0" t="s">
        <v>46</v>
      </c>
      <c r="E687" s="0" t="s">
        <v>18</v>
      </c>
      <c r="F687" s="0" t="s">
        <v>61</v>
      </c>
      <c r="G687" s="0" t="n">
        <v>1814487</v>
      </c>
      <c r="H687" s="0" t="n">
        <v>62256</v>
      </c>
      <c r="I687" s="0" t="n">
        <v>17705</v>
      </c>
      <c r="J687" s="0" t="n">
        <v>11.1</v>
      </c>
      <c r="K687" s="0" t="n">
        <v>20</v>
      </c>
      <c r="L687" s="0" t="n">
        <v>176</v>
      </c>
      <c r="M687" s="0" t="s">
        <v>54</v>
      </c>
      <c r="N687" s="0" t="s">
        <v>140</v>
      </c>
    </row>
    <row r="688" customFormat="false" ht="15" hidden="false" customHeight="false" outlineLevel="0" collapsed="false">
      <c r="A688" s="0" t="s">
        <v>1509</v>
      </c>
      <c r="B688" s="0" t="s">
        <v>1355</v>
      </c>
      <c r="C688" s="0" t="s">
        <v>1158</v>
      </c>
      <c r="D688" s="0" t="s">
        <v>39</v>
      </c>
      <c r="E688" s="0" t="s">
        <v>100</v>
      </c>
      <c r="F688" s="0" t="s">
        <v>558</v>
      </c>
      <c r="G688" s="0" t="n">
        <v>3485006</v>
      </c>
      <c r="H688" s="0" t="n">
        <v>147535</v>
      </c>
      <c r="I688" s="0" t="n">
        <v>41082</v>
      </c>
      <c r="J688" s="0" t="n">
        <v>52.4</v>
      </c>
      <c r="K688" s="0" t="n">
        <v>11</v>
      </c>
      <c r="L688" s="0" t="n">
        <v>296</v>
      </c>
      <c r="M688" s="0" t="s">
        <v>20</v>
      </c>
      <c r="N688" s="0" t="s">
        <v>96</v>
      </c>
    </row>
    <row r="689" customFormat="false" ht="15" hidden="false" customHeight="false" outlineLevel="0" collapsed="false">
      <c r="A689" s="0" t="s">
        <v>1510</v>
      </c>
      <c r="B689" s="0" t="s">
        <v>629</v>
      </c>
      <c r="C689" s="0" t="s">
        <v>1511</v>
      </c>
      <c r="D689" s="0" t="s">
        <v>71</v>
      </c>
      <c r="E689" s="0" t="s">
        <v>618</v>
      </c>
      <c r="F689" s="0" t="s">
        <v>90</v>
      </c>
      <c r="G689" s="0" t="n">
        <v>1219269</v>
      </c>
      <c r="H689" s="0" t="n">
        <v>30451</v>
      </c>
      <c r="I689" s="0" t="n">
        <v>10556</v>
      </c>
      <c r="J689" s="0" t="n">
        <v>28.6</v>
      </c>
      <c r="K689" s="0" t="n">
        <v>24</v>
      </c>
      <c r="L689" s="0" t="n">
        <v>746</v>
      </c>
      <c r="M689" s="0" t="s">
        <v>54</v>
      </c>
      <c r="N689" s="0" t="s">
        <v>122</v>
      </c>
    </row>
    <row r="690" customFormat="false" ht="15" hidden="false" customHeight="false" outlineLevel="0" collapsed="false">
      <c r="A690" s="0" t="s">
        <v>1512</v>
      </c>
      <c r="B690" s="0" t="s">
        <v>1513</v>
      </c>
      <c r="C690" s="0" t="s">
        <v>1012</v>
      </c>
      <c r="D690" s="0" t="s">
        <v>71</v>
      </c>
      <c r="E690" s="0" t="s">
        <v>139</v>
      </c>
      <c r="F690" s="0" t="s">
        <v>182</v>
      </c>
      <c r="G690" s="0" t="n">
        <v>1301378</v>
      </c>
      <c r="H690" s="0" t="n">
        <v>31840</v>
      </c>
      <c r="I690" s="0" t="n">
        <v>9861</v>
      </c>
      <c r="J690" s="0" t="n">
        <v>52.2</v>
      </c>
      <c r="K690" s="0" t="n">
        <v>15</v>
      </c>
      <c r="L690" s="0" t="n">
        <v>402</v>
      </c>
      <c r="M690" s="0" t="s">
        <v>20</v>
      </c>
      <c r="N690" s="0" t="s">
        <v>81</v>
      </c>
    </row>
    <row r="691" customFormat="false" ht="15" hidden="false" customHeight="false" outlineLevel="0" collapsed="false">
      <c r="A691" s="0" t="s">
        <v>1514</v>
      </c>
      <c r="B691" s="0" t="s">
        <v>1515</v>
      </c>
      <c r="C691" s="0" t="s">
        <v>510</v>
      </c>
      <c r="D691" s="0" t="s">
        <v>17</v>
      </c>
      <c r="E691" s="0" t="s">
        <v>306</v>
      </c>
      <c r="F691" s="0" t="s">
        <v>158</v>
      </c>
      <c r="G691" s="0" t="n">
        <v>1943320</v>
      </c>
      <c r="H691" s="0" t="n">
        <v>55205</v>
      </c>
      <c r="I691" s="0" t="n">
        <v>13504</v>
      </c>
      <c r="J691" s="0" t="n">
        <v>10.7</v>
      </c>
      <c r="K691" s="0" t="n">
        <v>14</v>
      </c>
      <c r="L691" s="0" t="n">
        <v>718</v>
      </c>
      <c r="M691" s="0" t="s">
        <v>35</v>
      </c>
      <c r="N691" s="0" t="s">
        <v>55</v>
      </c>
    </row>
    <row r="692" customFormat="false" ht="15" hidden="false" customHeight="false" outlineLevel="0" collapsed="false">
      <c r="A692" s="0" t="s">
        <v>1516</v>
      </c>
      <c r="B692" s="0" t="s">
        <v>635</v>
      </c>
      <c r="C692" s="0" t="s">
        <v>24</v>
      </c>
      <c r="D692" s="0" t="s">
        <v>39</v>
      </c>
      <c r="E692" s="0" t="s">
        <v>539</v>
      </c>
      <c r="F692" s="0" t="s">
        <v>440</v>
      </c>
      <c r="G692" s="0" t="n">
        <v>2320703</v>
      </c>
      <c r="H692" s="0" t="n">
        <v>96023</v>
      </c>
      <c r="I692" s="0" t="n">
        <v>30349</v>
      </c>
      <c r="J692" s="0" t="n">
        <v>33.3</v>
      </c>
      <c r="K692" s="0" t="n">
        <v>17</v>
      </c>
      <c r="L692" s="0" t="n">
        <v>184</v>
      </c>
      <c r="M692" s="0" t="s">
        <v>35</v>
      </c>
      <c r="N692" s="0" t="s">
        <v>55</v>
      </c>
    </row>
    <row r="693" customFormat="false" ht="15" hidden="false" customHeight="false" outlineLevel="0" collapsed="false">
      <c r="A693" s="0" t="s">
        <v>1517</v>
      </c>
      <c r="B693" s="0" t="s">
        <v>1518</v>
      </c>
      <c r="C693" s="0" t="s">
        <v>208</v>
      </c>
      <c r="D693" s="0" t="s">
        <v>71</v>
      </c>
      <c r="E693" s="0" t="s">
        <v>418</v>
      </c>
      <c r="F693" s="0" t="s">
        <v>130</v>
      </c>
      <c r="G693" s="0" t="n">
        <v>1204139</v>
      </c>
      <c r="H693" s="0" t="n">
        <v>29659</v>
      </c>
      <c r="I693" s="0" t="n">
        <v>9799</v>
      </c>
      <c r="J693" s="0" t="n">
        <v>57.9</v>
      </c>
      <c r="K693" s="0" t="n">
        <v>17</v>
      </c>
      <c r="L693" s="0" t="n">
        <v>180</v>
      </c>
      <c r="M693" s="0" t="s">
        <v>54</v>
      </c>
      <c r="N693" s="0" t="s">
        <v>102</v>
      </c>
    </row>
    <row r="694" customFormat="false" ht="15" hidden="false" customHeight="false" outlineLevel="0" collapsed="false">
      <c r="A694" s="0" t="s">
        <v>1519</v>
      </c>
      <c r="B694" s="0" t="s">
        <v>551</v>
      </c>
      <c r="C694" s="0" t="s">
        <v>641</v>
      </c>
      <c r="D694" s="0" t="s">
        <v>144</v>
      </c>
      <c r="E694" s="0" t="s">
        <v>539</v>
      </c>
      <c r="F694" s="0" t="s">
        <v>159</v>
      </c>
      <c r="G694" s="0" t="n">
        <v>1401531</v>
      </c>
      <c r="H694" s="0" t="n">
        <v>34740</v>
      </c>
      <c r="I694" s="0" t="n">
        <v>11017</v>
      </c>
      <c r="J694" s="0" t="n">
        <v>21</v>
      </c>
      <c r="K694" s="0" t="n">
        <v>9</v>
      </c>
      <c r="L694" s="0" t="n">
        <v>554</v>
      </c>
      <c r="M694" s="0" t="s">
        <v>35</v>
      </c>
      <c r="N694" s="0" t="s">
        <v>42</v>
      </c>
    </row>
    <row r="695" customFormat="false" ht="15" hidden="false" customHeight="false" outlineLevel="0" collapsed="false">
      <c r="A695" s="0" t="s">
        <v>1520</v>
      </c>
      <c r="B695" s="0" t="s">
        <v>294</v>
      </c>
      <c r="C695" s="0" t="s">
        <v>773</v>
      </c>
      <c r="D695" s="0" t="s">
        <v>144</v>
      </c>
      <c r="E695" s="0" t="s">
        <v>52</v>
      </c>
      <c r="F695" s="0" t="s">
        <v>204</v>
      </c>
      <c r="G695" s="0" t="n">
        <v>2239216</v>
      </c>
      <c r="H695" s="0" t="n">
        <v>65328</v>
      </c>
      <c r="I695" s="0" t="n">
        <v>20702</v>
      </c>
      <c r="J695" s="0" t="n">
        <v>53.8</v>
      </c>
      <c r="K695" s="0" t="n">
        <v>14</v>
      </c>
      <c r="L695" s="0" t="n">
        <v>626</v>
      </c>
      <c r="M695" s="0" t="s">
        <v>35</v>
      </c>
      <c r="N695" s="0" t="s">
        <v>55</v>
      </c>
    </row>
    <row r="696" customFormat="false" ht="15" hidden="false" customHeight="false" outlineLevel="0" collapsed="false">
      <c r="A696" s="0" t="s">
        <v>1521</v>
      </c>
      <c r="B696" s="0" t="s">
        <v>1268</v>
      </c>
      <c r="C696" s="0" t="s">
        <v>706</v>
      </c>
      <c r="D696" s="0" t="s">
        <v>109</v>
      </c>
      <c r="E696" s="0" t="s">
        <v>357</v>
      </c>
      <c r="F696" s="0" t="s">
        <v>302</v>
      </c>
      <c r="G696" s="0" t="n">
        <v>2111632</v>
      </c>
      <c r="H696" s="0" t="n">
        <v>58559</v>
      </c>
      <c r="I696" s="0" t="n">
        <v>18413</v>
      </c>
      <c r="J696" s="0" t="n">
        <v>26.2</v>
      </c>
      <c r="K696" s="0" t="n">
        <v>20</v>
      </c>
      <c r="L696" s="0" t="n">
        <v>514</v>
      </c>
      <c r="M696" s="0" t="s">
        <v>54</v>
      </c>
      <c r="N696" s="0" t="s">
        <v>74</v>
      </c>
    </row>
    <row r="697" customFormat="false" ht="15" hidden="false" customHeight="false" outlineLevel="0" collapsed="false">
      <c r="A697" s="0" t="s">
        <v>1522</v>
      </c>
      <c r="B697" s="0" t="s">
        <v>941</v>
      </c>
      <c r="C697" s="0" t="s">
        <v>456</v>
      </c>
      <c r="D697" s="0" t="s">
        <v>144</v>
      </c>
      <c r="E697" s="0" t="s">
        <v>115</v>
      </c>
      <c r="F697" s="0" t="s">
        <v>197</v>
      </c>
      <c r="G697" s="0" t="n">
        <v>1719695</v>
      </c>
      <c r="H697" s="0" t="n">
        <v>45708</v>
      </c>
      <c r="I697" s="0" t="n">
        <v>13544</v>
      </c>
      <c r="J697" s="0" t="n">
        <v>33.9</v>
      </c>
      <c r="K697" s="0" t="n">
        <v>11</v>
      </c>
      <c r="L697" s="0" t="n">
        <v>345</v>
      </c>
      <c r="M697" s="0" t="s">
        <v>54</v>
      </c>
      <c r="N697" s="0" t="s">
        <v>169</v>
      </c>
    </row>
    <row r="698" customFormat="false" ht="15" hidden="false" customHeight="false" outlineLevel="0" collapsed="false">
      <c r="A698" s="0" t="s">
        <v>1523</v>
      </c>
      <c r="B698" s="0" t="s">
        <v>359</v>
      </c>
      <c r="C698" s="0" t="s">
        <v>1158</v>
      </c>
      <c r="D698" s="0" t="s">
        <v>25</v>
      </c>
      <c r="E698" s="0" t="s">
        <v>389</v>
      </c>
      <c r="F698" s="0" t="s">
        <v>305</v>
      </c>
      <c r="G698" s="0" t="n">
        <v>1994578</v>
      </c>
      <c r="H698" s="0" t="n">
        <v>68668</v>
      </c>
      <c r="I698" s="0" t="n">
        <v>16315</v>
      </c>
      <c r="J698" s="0" t="n">
        <v>57.8</v>
      </c>
      <c r="K698" s="0" t="n">
        <v>14</v>
      </c>
      <c r="L698" s="0" t="n">
        <v>397</v>
      </c>
      <c r="M698" s="0" t="s">
        <v>20</v>
      </c>
      <c r="N698" s="0" t="s">
        <v>169</v>
      </c>
    </row>
    <row r="699" customFormat="false" ht="15" hidden="false" customHeight="false" outlineLevel="0" collapsed="false">
      <c r="A699" s="0" t="s">
        <v>1524</v>
      </c>
      <c r="B699" s="0" t="s">
        <v>775</v>
      </c>
      <c r="C699" s="0" t="s">
        <v>696</v>
      </c>
      <c r="D699" s="0" t="s">
        <v>89</v>
      </c>
      <c r="E699" s="0" t="s">
        <v>238</v>
      </c>
      <c r="F699" s="0" t="s">
        <v>314</v>
      </c>
      <c r="G699" s="0" t="n">
        <v>1391045</v>
      </c>
      <c r="H699" s="0" t="n">
        <v>31580</v>
      </c>
      <c r="I699" s="0" t="n">
        <v>11758</v>
      </c>
      <c r="J699" s="0" t="n">
        <v>48.4</v>
      </c>
      <c r="K699" s="0" t="n">
        <v>9</v>
      </c>
      <c r="L699" s="0" t="n">
        <v>353</v>
      </c>
      <c r="M699" s="0" t="s">
        <v>20</v>
      </c>
      <c r="N699" s="0" t="s">
        <v>96</v>
      </c>
    </row>
    <row r="700" customFormat="false" ht="15" hidden="false" customHeight="false" outlineLevel="0" collapsed="false">
      <c r="A700" s="0" t="s">
        <v>1525</v>
      </c>
      <c r="B700" s="0" t="s">
        <v>1526</v>
      </c>
      <c r="C700" s="0" t="s">
        <v>867</v>
      </c>
      <c r="D700" s="0" t="s">
        <v>25</v>
      </c>
      <c r="E700" s="0" t="s">
        <v>321</v>
      </c>
      <c r="F700" s="0" t="s">
        <v>19</v>
      </c>
      <c r="G700" s="0" t="n">
        <v>4367939</v>
      </c>
      <c r="H700" s="0" t="n">
        <v>123253</v>
      </c>
      <c r="I700" s="0" t="n">
        <v>33564</v>
      </c>
      <c r="J700" s="0" t="n">
        <v>13.8</v>
      </c>
      <c r="K700" s="0" t="n">
        <v>23</v>
      </c>
      <c r="L700" s="0" t="n">
        <v>567</v>
      </c>
      <c r="M700" s="0" t="s">
        <v>20</v>
      </c>
      <c r="N700" s="0" t="s">
        <v>21</v>
      </c>
    </row>
    <row r="701" customFormat="false" ht="15" hidden="false" customHeight="false" outlineLevel="0" collapsed="false">
      <c r="A701" s="0" t="s">
        <v>1527</v>
      </c>
      <c r="B701" s="0" t="s">
        <v>455</v>
      </c>
      <c r="C701" s="0" t="s">
        <v>324</v>
      </c>
      <c r="D701" s="0" t="s">
        <v>46</v>
      </c>
      <c r="E701" s="0" t="s">
        <v>648</v>
      </c>
      <c r="F701" s="0" t="s">
        <v>253</v>
      </c>
      <c r="G701" s="0" t="n">
        <v>2215021</v>
      </c>
      <c r="H701" s="0" t="n">
        <v>61098</v>
      </c>
      <c r="I701" s="0" t="n">
        <v>16557</v>
      </c>
      <c r="J701" s="0" t="n">
        <v>47</v>
      </c>
      <c r="K701" s="0" t="n">
        <v>19</v>
      </c>
      <c r="L701" s="0" t="n">
        <v>587</v>
      </c>
      <c r="M701" s="0" t="s">
        <v>54</v>
      </c>
      <c r="N701" s="0" t="s">
        <v>28</v>
      </c>
    </row>
    <row r="702" customFormat="false" ht="15" hidden="false" customHeight="false" outlineLevel="0" collapsed="false">
      <c r="A702" s="0" t="s">
        <v>1528</v>
      </c>
      <c r="B702" s="0" t="s">
        <v>429</v>
      </c>
      <c r="C702" s="0" t="s">
        <v>952</v>
      </c>
      <c r="D702" s="0" t="s">
        <v>71</v>
      </c>
      <c r="E702" s="0" t="s">
        <v>52</v>
      </c>
      <c r="F702" s="0" t="s">
        <v>53</v>
      </c>
      <c r="G702" s="0" t="n">
        <v>1690165</v>
      </c>
      <c r="H702" s="0" t="n">
        <v>49980</v>
      </c>
      <c r="I702" s="0" t="n">
        <v>17093</v>
      </c>
      <c r="J702" s="0" t="n">
        <v>54.1</v>
      </c>
      <c r="K702" s="0" t="n">
        <v>14</v>
      </c>
      <c r="L702" s="0" t="n">
        <v>151</v>
      </c>
      <c r="M702" s="0" t="s">
        <v>35</v>
      </c>
      <c r="N702" s="0" t="s">
        <v>28</v>
      </c>
    </row>
    <row r="703" customFormat="false" ht="15" hidden="false" customHeight="false" outlineLevel="0" collapsed="false">
      <c r="A703" s="0" t="s">
        <v>1529</v>
      </c>
      <c r="B703" s="0" t="s">
        <v>1530</v>
      </c>
      <c r="C703" s="0" t="s">
        <v>475</v>
      </c>
      <c r="D703" s="0" t="s">
        <v>59</v>
      </c>
      <c r="E703" s="0" t="s">
        <v>675</v>
      </c>
      <c r="F703" s="0" t="s">
        <v>182</v>
      </c>
      <c r="G703" s="0" t="n">
        <v>3095579</v>
      </c>
      <c r="H703" s="0" t="n">
        <v>165065</v>
      </c>
      <c r="I703" s="0" t="n">
        <v>50253</v>
      </c>
      <c r="J703" s="0" t="n">
        <v>31.5</v>
      </c>
      <c r="K703" s="0" t="n">
        <v>7</v>
      </c>
      <c r="L703" s="0" t="n">
        <v>565</v>
      </c>
      <c r="M703" s="0" t="s">
        <v>35</v>
      </c>
      <c r="N703" s="0" t="s">
        <v>102</v>
      </c>
    </row>
    <row r="704" customFormat="false" ht="15" hidden="false" customHeight="false" outlineLevel="0" collapsed="false">
      <c r="A704" s="0" t="s">
        <v>1531</v>
      </c>
      <c r="B704" s="0" t="s">
        <v>228</v>
      </c>
      <c r="C704" s="0" t="s">
        <v>417</v>
      </c>
      <c r="D704" s="0" t="s">
        <v>25</v>
      </c>
      <c r="E704" s="0" t="s">
        <v>79</v>
      </c>
      <c r="F704" s="0" t="s">
        <v>788</v>
      </c>
      <c r="G704" s="0" t="n">
        <v>3719405</v>
      </c>
      <c r="H704" s="0" t="n">
        <v>116029</v>
      </c>
      <c r="I704" s="0" t="n">
        <v>35289</v>
      </c>
      <c r="J704" s="0" t="n">
        <v>51</v>
      </c>
      <c r="K704" s="0" t="n">
        <v>22</v>
      </c>
      <c r="L704" s="0" t="n">
        <v>708</v>
      </c>
      <c r="M704" s="0" t="s">
        <v>20</v>
      </c>
      <c r="N704" s="0" t="s">
        <v>21</v>
      </c>
    </row>
    <row r="705" customFormat="false" ht="15" hidden="false" customHeight="false" outlineLevel="0" collapsed="false">
      <c r="A705" s="0" t="s">
        <v>1532</v>
      </c>
      <c r="B705" s="0" t="s">
        <v>1157</v>
      </c>
      <c r="C705" s="0" t="s">
        <v>698</v>
      </c>
      <c r="D705" s="0" t="s">
        <v>71</v>
      </c>
      <c r="E705" s="0" t="s">
        <v>101</v>
      </c>
      <c r="F705" s="0" t="s">
        <v>186</v>
      </c>
      <c r="G705" s="0" t="n">
        <v>993984</v>
      </c>
      <c r="H705" s="0" t="n">
        <v>31699</v>
      </c>
      <c r="I705" s="0" t="n">
        <v>7810</v>
      </c>
      <c r="J705" s="0" t="n">
        <v>52</v>
      </c>
      <c r="K705" s="0" t="n">
        <v>8</v>
      </c>
      <c r="L705" s="0" t="n">
        <v>371</v>
      </c>
      <c r="M705" s="0" t="s">
        <v>20</v>
      </c>
      <c r="N705" s="0" t="s">
        <v>28</v>
      </c>
    </row>
    <row r="706" customFormat="false" ht="15" hidden="false" customHeight="false" outlineLevel="0" collapsed="false">
      <c r="A706" s="0" t="s">
        <v>1533</v>
      </c>
      <c r="B706" s="0" t="s">
        <v>1534</v>
      </c>
      <c r="C706" s="0" t="s">
        <v>427</v>
      </c>
      <c r="D706" s="0" t="s">
        <v>59</v>
      </c>
      <c r="E706" s="0" t="s">
        <v>788</v>
      </c>
      <c r="F706" s="0" t="s">
        <v>209</v>
      </c>
      <c r="G706" s="0" t="n">
        <v>2212234</v>
      </c>
      <c r="H706" s="0" t="n">
        <v>99376</v>
      </c>
      <c r="I706" s="0" t="n">
        <v>28531</v>
      </c>
      <c r="J706" s="0" t="n">
        <v>16.8</v>
      </c>
      <c r="K706" s="0" t="n">
        <v>21</v>
      </c>
      <c r="L706" s="0" t="n">
        <v>153</v>
      </c>
      <c r="M706" s="0" t="s">
        <v>35</v>
      </c>
      <c r="N706" s="0" t="s">
        <v>96</v>
      </c>
    </row>
    <row r="707" customFormat="false" ht="15" hidden="false" customHeight="false" outlineLevel="0" collapsed="false">
      <c r="A707" s="0" t="s">
        <v>1535</v>
      </c>
      <c r="B707" s="0" t="s">
        <v>874</v>
      </c>
      <c r="C707" s="0" t="s">
        <v>708</v>
      </c>
      <c r="D707" s="0" t="s">
        <v>59</v>
      </c>
      <c r="E707" s="0" t="s">
        <v>389</v>
      </c>
      <c r="F707" s="0" t="s">
        <v>305</v>
      </c>
      <c r="G707" s="0" t="n">
        <v>1844403</v>
      </c>
      <c r="H707" s="0" t="n">
        <v>81159</v>
      </c>
      <c r="I707" s="0" t="n">
        <v>23727</v>
      </c>
      <c r="J707" s="0" t="n">
        <v>22</v>
      </c>
      <c r="K707" s="0" t="n">
        <v>20</v>
      </c>
      <c r="L707" s="0" t="n">
        <v>796</v>
      </c>
      <c r="M707" s="0" t="s">
        <v>35</v>
      </c>
      <c r="N707" s="0" t="s">
        <v>140</v>
      </c>
    </row>
    <row r="708" customFormat="false" ht="15" hidden="false" customHeight="false" outlineLevel="0" collapsed="false">
      <c r="A708" s="0" t="s">
        <v>1536</v>
      </c>
      <c r="B708" s="0" t="s">
        <v>1537</v>
      </c>
      <c r="C708" s="0" t="s">
        <v>773</v>
      </c>
      <c r="D708" s="0" t="s">
        <v>59</v>
      </c>
      <c r="E708" s="0" t="s">
        <v>379</v>
      </c>
      <c r="F708" s="0" t="s">
        <v>372</v>
      </c>
      <c r="G708" s="0" t="n">
        <v>2096235</v>
      </c>
      <c r="H708" s="0" t="n">
        <v>115155</v>
      </c>
      <c r="I708" s="0" t="n">
        <v>35342</v>
      </c>
      <c r="J708" s="0" t="n">
        <v>26.1</v>
      </c>
      <c r="K708" s="0" t="n">
        <v>21</v>
      </c>
      <c r="L708" s="0" t="n">
        <v>600</v>
      </c>
      <c r="M708" s="0" t="s">
        <v>54</v>
      </c>
      <c r="N708" s="0" t="s">
        <v>122</v>
      </c>
    </row>
    <row r="709" customFormat="false" ht="15" hidden="false" customHeight="false" outlineLevel="0" collapsed="false">
      <c r="A709" s="0" t="s">
        <v>1538</v>
      </c>
      <c r="B709" s="0" t="s">
        <v>243</v>
      </c>
      <c r="C709" s="0" t="s">
        <v>1539</v>
      </c>
      <c r="D709" s="0" t="s">
        <v>78</v>
      </c>
      <c r="E709" s="0" t="s">
        <v>204</v>
      </c>
      <c r="F709" s="0" t="s">
        <v>574</v>
      </c>
      <c r="G709" s="0" t="n">
        <v>4305825</v>
      </c>
      <c r="H709" s="0" t="n">
        <v>148795</v>
      </c>
      <c r="I709" s="0" t="n">
        <v>55363</v>
      </c>
      <c r="J709" s="0" t="n">
        <v>44.8</v>
      </c>
      <c r="K709" s="0" t="n">
        <v>5</v>
      </c>
      <c r="L709" s="0" t="n">
        <v>222</v>
      </c>
      <c r="M709" s="0" t="s">
        <v>54</v>
      </c>
      <c r="N709" s="0" t="s">
        <v>74</v>
      </c>
    </row>
    <row r="710" customFormat="false" ht="15" hidden="false" customHeight="false" outlineLevel="0" collapsed="false">
      <c r="A710" s="0" t="s">
        <v>1540</v>
      </c>
      <c r="B710" s="0" t="s">
        <v>219</v>
      </c>
      <c r="C710" s="0" t="s">
        <v>686</v>
      </c>
      <c r="D710" s="0" t="s">
        <v>46</v>
      </c>
      <c r="E710" s="0" t="s">
        <v>257</v>
      </c>
      <c r="F710" s="0" t="s">
        <v>440</v>
      </c>
      <c r="G710" s="0" t="n">
        <v>1520651</v>
      </c>
      <c r="H710" s="0" t="n">
        <v>53035</v>
      </c>
      <c r="I710" s="0" t="n">
        <v>14999</v>
      </c>
      <c r="J710" s="0" t="n">
        <v>39</v>
      </c>
      <c r="K710" s="0" t="n">
        <v>23</v>
      </c>
      <c r="L710" s="0" t="n">
        <v>655</v>
      </c>
      <c r="M710" s="0" t="s">
        <v>35</v>
      </c>
      <c r="N710" s="0" t="s">
        <v>55</v>
      </c>
    </row>
    <row r="711" customFormat="false" ht="15" hidden="false" customHeight="false" outlineLevel="0" collapsed="false">
      <c r="A711" s="0" t="s">
        <v>1541</v>
      </c>
      <c r="B711" s="0" t="s">
        <v>1542</v>
      </c>
      <c r="C711" s="0" t="s">
        <v>350</v>
      </c>
      <c r="D711" s="0" t="s">
        <v>65</v>
      </c>
      <c r="E711" s="0" t="s">
        <v>357</v>
      </c>
      <c r="F711" s="0" t="s">
        <v>302</v>
      </c>
      <c r="G711" s="0" t="n">
        <v>1260267</v>
      </c>
      <c r="H711" s="0" t="n">
        <v>33799</v>
      </c>
      <c r="I711" s="0" t="n">
        <v>8600</v>
      </c>
      <c r="J711" s="0" t="n">
        <v>50.2</v>
      </c>
      <c r="K711" s="0" t="n">
        <v>9</v>
      </c>
      <c r="L711" s="0" t="n">
        <v>275</v>
      </c>
      <c r="M711" s="0" t="s">
        <v>35</v>
      </c>
      <c r="N711" s="0" t="s">
        <v>55</v>
      </c>
    </row>
    <row r="712" customFormat="false" ht="15" hidden="false" customHeight="false" outlineLevel="0" collapsed="false">
      <c r="A712" s="0" t="s">
        <v>1543</v>
      </c>
      <c r="B712" s="0" t="s">
        <v>528</v>
      </c>
      <c r="C712" s="0" t="s">
        <v>714</v>
      </c>
      <c r="D712" s="0" t="s">
        <v>17</v>
      </c>
      <c r="E712" s="0" t="s">
        <v>237</v>
      </c>
      <c r="F712" s="0" t="s">
        <v>115</v>
      </c>
      <c r="G712" s="0" t="n">
        <v>2063729</v>
      </c>
      <c r="H712" s="0" t="n">
        <v>57600</v>
      </c>
      <c r="I712" s="0" t="n">
        <v>18330</v>
      </c>
      <c r="J712" s="0" t="n">
        <v>47.9</v>
      </c>
      <c r="K712" s="0" t="n">
        <v>17</v>
      </c>
      <c r="L712" s="0" t="n">
        <v>654</v>
      </c>
      <c r="M712" s="0" t="s">
        <v>54</v>
      </c>
      <c r="N712" s="0" t="s">
        <v>74</v>
      </c>
    </row>
    <row r="713" customFormat="false" ht="15" hidden="false" customHeight="false" outlineLevel="0" collapsed="false">
      <c r="A713" s="0" t="s">
        <v>1544</v>
      </c>
      <c r="B713" s="0" t="s">
        <v>462</v>
      </c>
      <c r="C713" s="0" t="s">
        <v>378</v>
      </c>
      <c r="D713" s="0" t="s">
        <v>46</v>
      </c>
      <c r="E713" s="0" t="s">
        <v>262</v>
      </c>
      <c r="F713" s="0" t="s">
        <v>340</v>
      </c>
      <c r="G713" s="0" t="n">
        <v>2612858</v>
      </c>
      <c r="H713" s="0" t="n">
        <v>81277</v>
      </c>
      <c r="I713" s="0" t="n">
        <v>27883</v>
      </c>
      <c r="J713" s="0" t="n">
        <v>47.9</v>
      </c>
      <c r="K713" s="0" t="n">
        <v>15</v>
      </c>
      <c r="L713" s="0" t="n">
        <v>633</v>
      </c>
      <c r="M713" s="0" t="s">
        <v>20</v>
      </c>
      <c r="N713" s="0" t="s">
        <v>122</v>
      </c>
    </row>
    <row r="714" customFormat="false" ht="15" hidden="false" customHeight="false" outlineLevel="0" collapsed="false">
      <c r="A714" s="0" t="s">
        <v>1545</v>
      </c>
      <c r="B714" s="0" t="s">
        <v>1403</v>
      </c>
      <c r="C714" s="0" t="s">
        <v>578</v>
      </c>
      <c r="D714" s="0" t="s">
        <v>109</v>
      </c>
      <c r="E714" s="0" t="s">
        <v>101</v>
      </c>
      <c r="F714" s="0" t="s">
        <v>299</v>
      </c>
      <c r="G714" s="0" t="n">
        <v>1352088</v>
      </c>
      <c r="H714" s="0" t="n">
        <v>45478</v>
      </c>
      <c r="I714" s="0" t="n">
        <v>13215</v>
      </c>
      <c r="J714" s="0" t="n">
        <v>18.5</v>
      </c>
      <c r="K714" s="0" t="n">
        <v>8</v>
      </c>
      <c r="L714" s="0" t="n">
        <v>467</v>
      </c>
      <c r="M714" s="0" t="s">
        <v>20</v>
      </c>
      <c r="N714" s="0" t="s">
        <v>55</v>
      </c>
    </row>
    <row r="715" customFormat="false" ht="15" hidden="false" customHeight="false" outlineLevel="0" collapsed="false">
      <c r="A715" s="0" t="s">
        <v>1546</v>
      </c>
      <c r="B715" s="0" t="s">
        <v>520</v>
      </c>
      <c r="C715" s="0" t="s">
        <v>800</v>
      </c>
      <c r="D715" s="0" t="s">
        <v>89</v>
      </c>
      <c r="E715" s="0" t="s">
        <v>347</v>
      </c>
      <c r="F715" s="0" t="s">
        <v>53</v>
      </c>
      <c r="G715" s="0" t="n">
        <v>1295193</v>
      </c>
      <c r="H715" s="0" t="n">
        <v>40426</v>
      </c>
      <c r="I715" s="0" t="n">
        <v>12876</v>
      </c>
      <c r="J715" s="0" t="n">
        <v>5.3</v>
      </c>
      <c r="K715" s="0" t="n">
        <v>18</v>
      </c>
      <c r="L715" s="0" t="n">
        <v>656</v>
      </c>
      <c r="M715" s="0" t="s">
        <v>20</v>
      </c>
      <c r="N715" s="0" t="s">
        <v>21</v>
      </c>
    </row>
    <row r="716" customFormat="false" ht="15" hidden="false" customHeight="false" outlineLevel="0" collapsed="false">
      <c r="A716" s="0" t="s">
        <v>1547</v>
      </c>
      <c r="B716" s="0" t="s">
        <v>1548</v>
      </c>
      <c r="C716" s="0" t="s">
        <v>806</v>
      </c>
      <c r="D716" s="0" t="s">
        <v>17</v>
      </c>
      <c r="E716" s="0" t="s">
        <v>273</v>
      </c>
      <c r="F716" s="0" t="s">
        <v>61</v>
      </c>
      <c r="G716" s="0" t="n">
        <v>3062528</v>
      </c>
      <c r="H716" s="0" t="n">
        <v>79990</v>
      </c>
      <c r="I716" s="0" t="n">
        <v>29495</v>
      </c>
      <c r="J716" s="0" t="n">
        <v>38.2</v>
      </c>
      <c r="K716" s="0" t="n">
        <v>18</v>
      </c>
      <c r="L716" s="0" t="n">
        <v>241</v>
      </c>
      <c r="M716" s="0" t="s">
        <v>54</v>
      </c>
      <c r="N716" s="0" t="s">
        <v>67</v>
      </c>
    </row>
    <row r="717" customFormat="false" ht="15" hidden="false" customHeight="false" outlineLevel="0" collapsed="false">
      <c r="A717" s="0" t="s">
        <v>1549</v>
      </c>
      <c r="B717" s="0" t="s">
        <v>844</v>
      </c>
      <c r="C717" s="0" t="s">
        <v>952</v>
      </c>
      <c r="D717" s="0" t="s">
        <v>39</v>
      </c>
      <c r="E717" s="0" t="s">
        <v>262</v>
      </c>
      <c r="F717" s="0" t="s">
        <v>34</v>
      </c>
      <c r="G717" s="0" t="n">
        <v>2016784</v>
      </c>
      <c r="H717" s="0" t="n">
        <v>90365</v>
      </c>
      <c r="I717" s="0" t="n">
        <v>26381</v>
      </c>
      <c r="J717" s="0" t="n">
        <v>3.4</v>
      </c>
      <c r="K717" s="0" t="n">
        <v>10</v>
      </c>
      <c r="L717" s="0" t="n">
        <v>181</v>
      </c>
      <c r="M717" s="0" t="s">
        <v>54</v>
      </c>
      <c r="N717" s="0" t="s">
        <v>74</v>
      </c>
    </row>
    <row r="718" customFormat="false" ht="15" hidden="false" customHeight="false" outlineLevel="0" collapsed="false">
      <c r="A718" s="0" t="s">
        <v>1550</v>
      </c>
      <c r="B718" s="0" t="s">
        <v>1070</v>
      </c>
      <c r="C718" s="0" t="s">
        <v>661</v>
      </c>
      <c r="D718" s="0" t="s">
        <v>78</v>
      </c>
      <c r="E718" s="0" t="s">
        <v>233</v>
      </c>
      <c r="F718" s="0" t="s">
        <v>19</v>
      </c>
      <c r="G718" s="0" t="n">
        <v>2191102</v>
      </c>
      <c r="H718" s="0" t="n">
        <v>88813</v>
      </c>
      <c r="I718" s="0" t="n">
        <v>30866</v>
      </c>
      <c r="J718" s="0" t="n">
        <v>4.2</v>
      </c>
      <c r="K718" s="0" t="n">
        <v>5</v>
      </c>
      <c r="L718" s="0" t="n">
        <v>265</v>
      </c>
      <c r="M718" s="0" t="s">
        <v>54</v>
      </c>
      <c r="N718" s="0" t="s">
        <v>96</v>
      </c>
    </row>
    <row r="719" customFormat="false" ht="15" hidden="false" customHeight="false" outlineLevel="0" collapsed="false">
      <c r="A719" s="0" t="s">
        <v>1551</v>
      </c>
      <c r="B719" s="0" t="s">
        <v>261</v>
      </c>
      <c r="C719" s="0" t="s">
        <v>88</v>
      </c>
      <c r="D719" s="0" t="s">
        <v>71</v>
      </c>
      <c r="E719" s="0" t="s">
        <v>407</v>
      </c>
      <c r="F719" s="0" t="s">
        <v>115</v>
      </c>
      <c r="G719" s="0" t="n">
        <v>980071</v>
      </c>
      <c r="H719" s="0" t="n">
        <v>26129</v>
      </c>
      <c r="I719" s="0" t="n">
        <v>6615</v>
      </c>
      <c r="J719" s="0" t="n">
        <v>14.7</v>
      </c>
      <c r="K719" s="0" t="n">
        <v>8</v>
      </c>
      <c r="L719" s="0" t="n">
        <v>605</v>
      </c>
      <c r="M719" s="0" t="s">
        <v>20</v>
      </c>
      <c r="N719" s="0" t="s">
        <v>96</v>
      </c>
    </row>
    <row r="720" customFormat="false" ht="15" hidden="false" customHeight="false" outlineLevel="0" collapsed="false">
      <c r="A720" s="0" t="s">
        <v>1552</v>
      </c>
      <c r="B720" s="0" t="s">
        <v>1261</v>
      </c>
      <c r="C720" s="0" t="s">
        <v>350</v>
      </c>
      <c r="D720" s="0" t="s">
        <v>144</v>
      </c>
      <c r="E720" s="0" t="s">
        <v>72</v>
      </c>
      <c r="F720" s="0" t="s">
        <v>310</v>
      </c>
      <c r="G720" s="0" t="n">
        <v>1523156</v>
      </c>
      <c r="H720" s="0" t="n">
        <v>41426</v>
      </c>
      <c r="I720" s="0" t="n">
        <v>13367</v>
      </c>
      <c r="J720" s="0" t="n">
        <v>12.2</v>
      </c>
      <c r="K720" s="0" t="n">
        <v>21</v>
      </c>
      <c r="L720" s="0" t="n">
        <v>739</v>
      </c>
      <c r="M720" s="0" t="s">
        <v>20</v>
      </c>
      <c r="N720" s="0" t="s">
        <v>81</v>
      </c>
    </row>
    <row r="721" customFormat="false" ht="15" hidden="false" customHeight="false" outlineLevel="0" collapsed="false">
      <c r="A721" s="0" t="s">
        <v>1553</v>
      </c>
      <c r="B721" s="0" t="s">
        <v>663</v>
      </c>
      <c r="C721" s="0" t="s">
        <v>1012</v>
      </c>
      <c r="D721" s="0" t="s">
        <v>32</v>
      </c>
      <c r="E721" s="0" t="s">
        <v>126</v>
      </c>
      <c r="F721" s="0" t="s">
        <v>292</v>
      </c>
      <c r="G721" s="0" t="n">
        <v>5304226</v>
      </c>
      <c r="H721" s="0" t="n">
        <v>175890</v>
      </c>
      <c r="I721" s="0" t="n">
        <v>55106</v>
      </c>
      <c r="J721" s="0" t="n">
        <v>26.2</v>
      </c>
      <c r="K721" s="0" t="n">
        <v>5</v>
      </c>
      <c r="L721" s="0" t="n">
        <v>645</v>
      </c>
      <c r="M721" s="0" t="s">
        <v>20</v>
      </c>
      <c r="N721" s="0" t="s">
        <v>81</v>
      </c>
    </row>
    <row r="722" customFormat="false" ht="15" hidden="false" customHeight="false" outlineLevel="0" collapsed="false">
      <c r="A722" s="0" t="s">
        <v>1554</v>
      </c>
      <c r="B722" s="0" t="s">
        <v>1151</v>
      </c>
      <c r="C722" s="0" t="s">
        <v>986</v>
      </c>
      <c r="D722" s="0" t="s">
        <v>59</v>
      </c>
      <c r="E722" s="0" t="s">
        <v>209</v>
      </c>
      <c r="F722" s="0" t="s">
        <v>145</v>
      </c>
      <c r="G722" s="0" t="n">
        <v>3490763</v>
      </c>
      <c r="H722" s="0" t="n">
        <v>166647</v>
      </c>
      <c r="I722" s="0" t="n">
        <v>52765</v>
      </c>
      <c r="J722" s="0" t="n">
        <v>57.3</v>
      </c>
      <c r="K722" s="0" t="n">
        <v>11</v>
      </c>
      <c r="L722" s="0" t="n">
        <v>468</v>
      </c>
      <c r="M722" s="0" t="s">
        <v>20</v>
      </c>
      <c r="N722" s="0" t="s">
        <v>28</v>
      </c>
    </row>
    <row r="723" customFormat="false" ht="15" hidden="false" customHeight="false" outlineLevel="0" collapsed="false">
      <c r="A723" s="0" t="s">
        <v>1555</v>
      </c>
      <c r="B723" s="0" t="s">
        <v>147</v>
      </c>
      <c r="C723" s="0" t="s">
        <v>806</v>
      </c>
      <c r="D723" s="0" t="s">
        <v>71</v>
      </c>
      <c r="E723" s="0" t="s">
        <v>425</v>
      </c>
      <c r="F723" s="0" t="s">
        <v>95</v>
      </c>
      <c r="G723" s="0" t="n">
        <v>1860565</v>
      </c>
      <c r="H723" s="0" t="n">
        <v>43279</v>
      </c>
      <c r="I723" s="0" t="n">
        <v>15299</v>
      </c>
      <c r="J723" s="0" t="n">
        <v>44.4</v>
      </c>
      <c r="K723" s="0" t="n">
        <v>24</v>
      </c>
      <c r="L723" s="0" t="n">
        <v>597</v>
      </c>
      <c r="M723" s="0" t="s">
        <v>20</v>
      </c>
      <c r="N723" s="0" t="s">
        <v>74</v>
      </c>
    </row>
    <row r="724" customFormat="false" ht="15" hidden="false" customHeight="false" outlineLevel="0" collapsed="false">
      <c r="A724" s="0" t="s">
        <v>1556</v>
      </c>
      <c r="B724" s="0" t="s">
        <v>1154</v>
      </c>
      <c r="C724" s="0" t="s">
        <v>398</v>
      </c>
      <c r="D724" s="0" t="s">
        <v>39</v>
      </c>
      <c r="E724" s="0" t="s">
        <v>33</v>
      </c>
      <c r="F724" s="0" t="s">
        <v>72</v>
      </c>
      <c r="G724" s="0" t="n">
        <v>3604128</v>
      </c>
      <c r="H724" s="0" t="n">
        <v>154988</v>
      </c>
      <c r="I724" s="0" t="n">
        <v>47048</v>
      </c>
      <c r="J724" s="0" t="n">
        <v>26.6</v>
      </c>
      <c r="K724" s="0" t="n">
        <v>7</v>
      </c>
      <c r="L724" s="0" t="n">
        <v>587</v>
      </c>
      <c r="M724" s="0" t="s">
        <v>20</v>
      </c>
      <c r="N724" s="0" t="s">
        <v>42</v>
      </c>
    </row>
    <row r="725" customFormat="false" ht="15" hidden="false" customHeight="false" outlineLevel="0" collapsed="false">
      <c r="A725" s="0" t="s">
        <v>1557</v>
      </c>
      <c r="B725" s="0" t="s">
        <v>1558</v>
      </c>
      <c r="C725" s="0" t="s">
        <v>16</v>
      </c>
      <c r="D725" s="0" t="s">
        <v>65</v>
      </c>
      <c r="E725" s="0" t="s">
        <v>158</v>
      </c>
      <c r="F725" s="0" t="s">
        <v>163</v>
      </c>
      <c r="G725" s="0" t="n">
        <v>1586764</v>
      </c>
      <c r="H725" s="0" t="n">
        <v>45284</v>
      </c>
      <c r="I725" s="0" t="n">
        <v>15830</v>
      </c>
      <c r="J725" s="0" t="n">
        <v>8.4</v>
      </c>
      <c r="K725" s="0" t="n">
        <v>21</v>
      </c>
      <c r="L725" s="0" t="n">
        <v>519</v>
      </c>
      <c r="M725" s="0" t="s">
        <v>20</v>
      </c>
      <c r="N725" s="0" t="s">
        <v>74</v>
      </c>
    </row>
    <row r="726" customFormat="false" ht="15" hidden="false" customHeight="false" outlineLevel="0" collapsed="false">
      <c r="A726" s="0" t="s">
        <v>1559</v>
      </c>
      <c r="B726" s="0" t="s">
        <v>184</v>
      </c>
      <c r="C726" s="0" t="s">
        <v>867</v>
      </c>
      <c r="D726" s="0" t="s">
        <v>78</v>
      </c>
      <c r="E726" s="0" t="s">
        <v>266</v>
      </c>
      <c r="F726" s="0" t="s">
        <v>269</v>
      </c>
      <c r="G726" s="0" t="n">
        <v>3524147</v>
      </c>
      <c r="H726" s="0" t="n">
        <v>130447</v>
      </c>
      <c r="I726" s="0" t="n">
        <v>32040</v>
      </c>
      <c r="J726" s="0" t="n">
        <v>49.7</v>
      </c>
      <c r="K726" s="0" t="n">
        <v>5</v>
      </c>
      <c r="L726" s="0" t="n">
        <v>367</v>
      </c>
      <c r="M726" s="0" t="s">
        <v>54</v>
      </c>
      <c r="N726" s="0" t="s">
        <v>67</v>
      </c>
    </row>
    <row r="727" customFormat="false" ht="15" hidden="false" customHeight="false" outlineLevel="0" collapsed="false">
      <c r="A727" s="0" t="s">
        <v>1560</v>
      </c>
      <c r="B727" s="0" t="s">
        <v>1561</v>
      </c>
      <c r="C727" s="0" t="s">
        <v>1020</v>
      </c>
      <c r="D727" s="0" t="s">
        <v>109</v>
      </c>
      <c r="E727" s="0" t="s">
        <v>393</v>
      </c>
      <c r="F727" s="0" t="s">
        <v>257</v>
      </c>
      <c r="G727" s="0" t="n">
        <v>2053502</v>
      </c>
      <c r="H727" s="0" t="n">
        <v>65641</v>
      </c>
      <c r="I727" s="0" t="n">
        <v>17720</v>
      </c>
      <c r="J727" s="0" t="n">
        <v>36.3</v>
      </c>
      <c r="K727" s="0" t="n">
        <v>16</v>
      </c>
      <c r="L727" s="0" t="n">
        <v>782</v>
      </c>
      <c r="M727" s="0" t="s">
        <v>20</v>
      </c>
      <c r="N727" s="0" t="s">
        <v>102</v>
      </c>
    </row>
    <row r="728" customFormat="false" ht="15" hidden="false" customHeight="false" outlineLevel="0" collapsed="false">
      <c r="A728" s="0" t="s">
        <v>1562</v>
      </c>
      <c r="B728" s="0" t="s">
        <v>884</v>
      </c>
      <c r="C728" s="0" t="s">
        <v>201</v>
      </c>
      <c r="D728" s="0" t="s">
        <v>46</v>
      </c>
      <c r="E728" s="0" t="s">
        <v>487</v>
      </c>
      <c r="F728" s="0" t="s">
        <v>134</v>
      </c>
      <c r="G728" s="0" t="n">
        <v>2822523</v>
      </c>
      <c r="H728" s="0" t="n">
        <v>81081</v>
      </c>
      <c r="I728" s="0" t="n">
        <v>26440</v>
      </c>
      <c r="J728" s="0" t="n">
        <v>56.5</v>
      </c>
      <c r="K728" s="0" t="n">
        <v>23</v>
      </c>
      <c r="L728" s="0" t="n">
        <v>617</v>
      </c>
      <c r="M728" s="0" t="s">
        <v>20</v>
      </c>
      <c r="N728" s="0" t="s">
        <v>102</v>
      </c>
    </row>
    <row r="729" customFormat="false" ht="15" hidden="false" customHeight="false" outlineLevel="0" collapsed="false">
      <c r="A729" s="0" t="s">
        <v>1563</v>
      </c>
      <c r="B729" s="0" t="s">
        <v>1371</v>
      </c>
      <c r="C729" s="0" t="s">
        <v>529</v>
      </c>
      <c r="D729" s="0" t="s">
        <v>65</v>
      </c>
      <c r="E729" s="0" t="s">
        <v>472</v>
      </c>
      <c r="F729" s="0" t="s">
        <v>95</v>
      </c>
      <c r="G729" s="0" t="n">
        <v>2359780</v>
      </c>
      <c r="H729" s="0" t="n">
        <v>65018</v>
      </c>
      <c r="I729" s="0" t="n">
        <v>21957</v>
      </c>
      <c r="J729" s="0" t="n">
        <v>51.7</v>
      </c>
      <c r="K729" s="0" t="n">
        <v>25</v>
      </c>
      <c r="L729" s="0" t="n">
        <v>710</v>
      </c>
      <c r="M729" s="0" t="s">
        <v>20</v>
      </c>
      <c r="N729" s="0" t="s">
        <v>169</v>
      </c>
    </row>
    <row r="730" customFormat="false" ht="15" hidden="false" customHeight="false" outlineLevel="0" collapsed="false">
      <c r="A730" s="0" t="s">
        <v>1564</v>
      </c>
      <c r="B730" s="0" t="s">
        <v>620</v>
      </c>
      <c r="C730" s="0" t="s">
        <v>392</v>
      </c>
      <c r="D730" s="0" t="s">
        <v>89</v>
      </c>
      <c r="E730" s="0" t="s">
        <v>586</v>
      </c>
      <c r="F730" s="0" t="s">
        <v>177</v>
      </c>
      <c r="G730" s="0" t="n">
        <v>1012689</v>
      </c>
      <c r="H730" s="0" t="n">
        <v>27023</v>
      </c>
      <c r="I730" s="0" t="n">
        <v>6183</v>
      </c>
      <c r="J730" s="0" t="n">
        <v>42.3</v>
      </c>
      <c r="K730" s="0" t="n">
        <v>15</v>
      </c>
      <c r="L730" s="0" t="n">
        <v>252</v>
      </c>
      <c r="M730" s="0" t="s">
        <v>54</v>
      </c>
      <c r="N730" s="0" t="s">
        <v>67</v>
      </c>
    </row>
    <row r="731" customFormat="false" ht="15" hidden="false" customHeight="false" outlineLevel="0" collapsed="false">
      <c r="A731" s="0" t="s">
        <v>1565</v>
      </c>
      <c r="B731" s="0" t="s">
        <v>606</v>
      </c>
      <c r="C731" s="0" t="s">
        <v>661</v>
      </c>
      <c r="D731" s="0" t="s">
        <v>65</v>
      </c>
      <c r="E731" s="0" t="s">
        <v>220</v>
      </c>
      <c r="F731" s="0" t="s">
        <v>34</v>
      </c>
      <c r="G731" s="0" t="n">
        <v>1401605</v>
      </c>
      <c r="H731" s="0" t="n">
        <v>48887</v>
      </c>
      <c r="I731" s="0" t="n">
        <v>14127</v>
      </c>
      <c r="J731" s="0" t="n">
        <v>43.6</v>
      </c>
      <c r="K731" s="0" t="n">
        <v>12</v>
      </c>
      <c r="L731" s="0" t="n">
        <v>724</v>
      </c>
      <c r="M731" s="0" t="s">
        <v>35</v>
      </c>
      <c r="N731" s="0" t="s">
        <v>74</v>
      </c>
    </row>
    <row r="732" customFormat="false" ht="15" hidden="false" customHeight="false" outlineLevel="0" collapsed="false">
      <c r="A732" s="0" t="s">
        <v>1566</v>
      </c>
      <c r="B732" s="0" t="s">
        <v>1443</v>
      </c>
      <c r="C732" s="0" t="s">
        <v>745</v>
      </c>
      <c r="D732" s="0" t="s">
        <v>39</v>
      </c>
      <c r="E732" s="0" t="s">
        <v>126</v>
      </c>
      <c r="F732" s="0" t="s">
        <v>214</v>
      </c>
      <c r="G732" s="0" t="n">
        <v>3015805</v>
      </c>
      <c r="H732" s="0" t="n">
        <v>95537</v>
      </c>
      <c r="I732" s="0" t="n">
        <v>24691</v>
      </c>
      <c r="J732" s="0" t="n">
        <v>9.9</v>
      </c>
      <c r="K732" s="0" t="n">
        <v>15</v>
      </c>
      <c r="L732" s="0" t="n">
        <v>436</v>
      </c>
      <c r="M732" s="0" t="s">
        <v>20</v>
      </c>
      <c r="N732" s="0" t="s">
        <v>140</v>
      </c>
    </row>
    <row r="733" customFormat="false" ht="15" hidden="false" customHeight="false" outlineLevel="0" collapsed="false">
      <c r="A733" s="0" t="s">
        <v>1567</v>
      </c>
      <c r="B733" s="0" t="s">
        <v>1568</v>
      </c>
      <c r="C733" s="0" t="s">
        <v>714</v>
      </c>
      <c r="D733" s="0" t="s">
        <v>25</v>
      </c>
      <c r="E733" s="0" t="s">
        <v>101</v>
      </c>
      <c r="F733" s="0" t="s">
        <v>186</v>
      </c>
      <c r="G733" s="0" t="n">
        <v>2552635</v>
      </c>
      <c r="H733" s="0" t="n">
        <v>92775</v>
      </c>
      <c r="I733" s="0" t="n">
        <v>27514</v>
      </c>
      <c r="J733" s="0" t="n">
        <v>37</v>
      </c>
      <c r="K733" s="0" t="n">
        <v>17</v>
      </c>
      <c r="L733" s="0" t="n">
        <v>701</v>
      </c>
      <c r="M733" s="0" t="s">
        <v>54</v>
      </c>
      <c r="N733" s="0" t="s">
        <v>42</v>
      </c>
    </row>
    <row r="734" customFormat="false" ht="15" hidden="false" customHeight="false" outlineLevel="0" collapsed="false">
      <c r="A734" s="0" t="s">
        <v>1569</v>
      </c>
      <c r="B734" s="0" t="s">
        <v>1570</v>
      </c>
      <c r="C734" s="0" t="s">
        <v>324</v>
      </c>
      <c r="D734" s="0" t="s">
        <v>65</v>
      </c>
      <c r="E734" s="0" t="s">
        <v>19</v>
      </c>
      <c r="F734" s="0" t="s">
        <v>558</v>
      </c>
      <c r="G734" s="0" t="n">
        <v>1694402</v>
      </c>
      <c r="H734" s="0" t="n">
        <v>46870</v>
      </c>
      <c r="I734" s="0" t="n">
        <v>11501</v>
      </c>
      <c r="J734" s="0" t="n">
        <v>35.8</v>
      </c>
      <c r="K734" s="0" t="n">
        <v>5</v>
      </c>
      <c r="L734" s="0" t="n">
        <v>661</v>
      </c>
      <c r="M734" s="0" t="s">
        <v>35</v>
      </c>
      <c r="N734" s="0" t="s">
        <v>122</v>
      </c>
    </row>
    <row r="735" customFormat="false" ht="15" hidden="false" customHeight="false" outlineLevel="0" collapsed="false">
      <c r="A735" s="0" t="s">
        <v>1571</v>
      </c>
      <c r="B735" s="0" t="s">
        <v>1050</v>
      </c>
      <c r="C735" s="0" t="s">
        <v>983</v>
      </c>
      <c r="D735" s="0" t="s">
        <v>25</v>
      </c>
      <c r="E735" s="0" t="s">
        <v>220</v>
      </c>
      <c r="F735" s="0" t="s">
        <v>106</v>
      </c>
      <c r="G735" s="0" t="n">
        <v>5344296</v>
      </c>
      <c r="H735" s="0" t="n">
        <v>181175</v>
      </c>
      <c r="I735" s="0" t="n">
        <v>56728</v>
      </c>
      <c r="J735" s="0" t="n">
        <v>22.4</v>
      </c>
      <c r="K735" s="0" t="n">
        <v>10</v>
      </c>
      <c r="L735" s="0" t="n">
        <v>222</v>
      </c>
      <c r="M735" s="0" t="s">
        <v>54</v>
      </c>
      <c r="N735" s="0" t="s">
        <v>102</v>
      </c>
    </row>
    <row r="736" customFormat="false" ht="15" hidden="false" customHeight="false" outlineLevel="0" collapsed="false">
      <c r="A736" s="0" t="s">
        <v>1572</v>
      </c>
      <c r="B736" s="0" t="s">
        <v>1182</v>
      </c>
      <c r="C736" s="0" t="s">
        <v>309</v>
      </c>
      <c r="D736" s="0" t="s">
        <v>17</v>
      </c>
      <c r="E736" s="0" t="s">
        <v>1038</v>
      </c>
      <c r="F736" s="0" t="s">
        <v>289</v>
      </c>
      <c r="G736" s="0" t="n">
        <v>1346211</v>
      </c>
      <c r="H736" s="0" t="n">
        <v>40695</v>
      </c>
      <c r="I736" s="0" t="n">
        <v>10968</v>
      </c>
      <c r="J736" s="0" t="n">
        <v>54.9</v>
      </c>
      <c r="K736" s="0" t="n">
        <v>24</v>
      </c>
      <c r="L736" s="0" t="n">
        <v>626</v>
      </c>
      <c r="M736" s="0" t="s">
        <v>54</v>
      </c>
      <c r="N736" s="0" t="s">
        <v>67</v>
      </c>
    </row>
    <row r="737" customFormat="false" ht="15" hidden="false" customHeight="false" outlineLevel="0" collapsed="false">
      <c r="A737" s="0" t="s">
        <v>1573</v>
      </c>
      <c r="B737" s="0" t="s">
        <v>1574</v>
      </c>
      <c r="C737" s="0" t="s">
        <v>99</v>
      </c>
      <c r="D737" s="0" t="s">
        <v>89</v>
      </c>
      <c r="E737" s="0" t="s">
        <v>126</v>
      </c>
      <c r="F737" s="0" t="s">
        <v>213</v>
      </c>
      <c r="G737" s="0" t="n">
        <v>1247213</v>
      </c>
      <c r="H737" s="0" t="n">
        <v>39866</v>
      </c>
      <c r="I737" s="0" t="n">
        <v>9712</v>
      </c>
      <c r="J737" s="0" t="n">
        <v>41.2</v>
      </c>
      <c r="K737" s="0" t="n">
        <v>11</v>
      </c>
      <c r="L737" s="0" t="n">
        <v>369</v>
      </c>
      <c r="M737" s="0" t="s">
        <v>20</v>
      </c>
      <c r="N737" s="0" t="s">
        <v>96</v>
      </c>
    </row>
    <row r="738" customFormat="false" ht="15" hidden="false" customHeight="false" outlineLevel="0" collapsed="false">
      <c r="A738" s="0" t="s">
        <v>1575</v>
      </c>
      <c r="B738" s="0" t="s">
        <v>1576</v>
      </c>
      <c r="C738" s="0" t="s">
        <v>597</v>
      </c>
      <c r="D738" s="0" t="s">
        <v>59</v>
      </c>
      <c r="E738" s="0" t="s">
        <v>153</v>
      </c>
      <c r="F738" s="0" t="s">
        <v>675</v>
      </c>
      <c r="G738" s="0" t="n">
        <v>1938802</v>
      </c>
      <c r="H738" s="0" t="n">
        <v>90148</v>
      </c>
      <c r="I738" s="0" t="n">
        <v>23706</v>
      </c>
      <c r="J738" s="0" t="n">
        <v>48.9</v>
      </c>
      <c r="K738" s="0" t="n">
        <v>25</v>
      </c>
      <c r="L738" s="0" t="n">
        <v>770</v>
      </c>
      <c r="M738" s="0" t="s">
        <v>20</v>
      </c>
      <c r="N738" s="0" t="s">
        <v>42</v>
      </c>
    </row>
    <row r="739" customFormat="false" ht="15" hidden="false" customHeight="false" outlineLevel="0" collapsed="false">
      <c r="A739" s="0" t="s">
        <v>1577</v>
      </c>
      <c r="B739" s="0" t="s">
        <v>517</v>
      </c>
      <c r="C739" s="0" t="s">
        <v>523</v>
      </c>
      <c r="D739" s="0" t="s">
        <v>144</v>
      </c>
      <c r="E739" s="0" t="s">
        <v>101</v>
      </c>
      <c r="F739" s="0" t="s">
        <v>299</v>
      </c>
      <c r="G739" s="0" t="n">
        <v>2290279</v>
      </c>
      <c r="H739" s="0" t="n">
        <v>48911</v>
      </c>
      <c r="I739" s="0" t="n">
        <v>16896</v>
      </c>
      <c r="J739" s="0" t="n">
        <v>48</v>
      </c>
      <c r="K739" s="0" t="n">
        <v>21</v>
      </c>
      <c r="L739" s="0" t="n">
        <v>384</v>
      </c>
      <c r="M739" s="0" t="s">
        <v>20</v>
      </c>
      <c r="N739" s="0" t="s">
        <v>42</v>
      </c>
    </row>
    <row r="740" customFormat="false" ht="15" hidden="false" customHeight="false" outlineLevel="0" collapsed="false">
      <c r="A740" s="0" t="s">
        <v>1578</v>
      </c>
      <c r="B740" s="0" t="s">
        <v>147</v>
      </c>
      <c r="C740" s="0" t="s">
        <v>1579</v>
      </c>
      <c r="D740" s="0" t="s">
        <v>71</v>
      </c>
      <c r="E740" s="0" t="s">
        <v>552</v>
      </c>
      <c r="F740" s="0" t="s">
        <v>257</v>
      </c>
      <c r="G740" s="0" t="n">
        <v>1272063</v>
      </c>
      <c r="H740" s="0" t="n">
        <v>36334</v>
      </c>
      <c r="I740" s="0" t="n">
        <v>8420</v>
      </c>
      <c r="J740" s="0" t="n">
        <v>42.2</v>
      </c>
      <c r="K740" s="0" t="n">
        <v>21</v>
      </c>
      <c r="L740" s="0" t="n">
        <v>735</v>
      </c>
      <c r="M740" s="0" t="s">
        <v>35</v>
      </c>
      <c r="N740" s="0" t="s">
        <v>122</v>
      </c>
    </row>
    <row r="741" customFormat="false" ht="15" hidden="false" customHeight="false" outlineLevel="0" collapsed="false">
      <c r="A741" s="0" t="s">
        <v>1580</v>
      </c>
      <c r="B741" s="0" t="s">
        <v>966</v>
      </c>
      <c r="C741" s="0" t="s">
        <v>475</v>
      </c>
      <c r="D741" s="0" t="s">
        <v>65</v>
      </c>
      <c r="E741" s="0" t="s">
        <v>562</v>
      </c>
      <c r="F741" s="0" t="s">
        <v>289</v>
      </c>
      <c r="G741" s="0" t="n">
        <v>1870604</v>
      </c>
      <c r="H741" s="0" t="n">
        <v>64765</v>
      </c>
      <c r="I741" s="0" t="n">
        <v>15666</v>
      </c>
      <c r="J741" s="0" t="n">
        <v>4.4</v>
      </c>
      <c r="K741" s="0" t="n">
        <v>15</v>
      </c>
      <c r="L741" s="0" t="n">
        <v>750</v>
      </c>
      <c r="M741" s="0" t="s">
        <v>20</v>
      </c>
      <c r="N741" s="0" t="s">
        <v>67</v>
      </c>
    </row>
    <row r="742" customFormat="false" ht="15" hidden="false" customHeight="false" outlineLevel="0" collapsed="false">
      <c r="A742" s="0" t="s">
        <v>1581</v>
      </c>
      <c r="B742" s="0" t="s">
        <v>384</v>
      </c>
      <c r="C742" s="0" t="s">
        <v>1063</v>
      </c>
      <c r="D742" s="0" t="s">
        <v>59</v>
      </c>
      <c r="E742" s="0" t="s">
        <v>407</v>
      </c>
      <c r="F742" s="0" t="s">
        <v>116</v>
      </c>
      <c r="G742" s="0" t="n">
        <v>1930482</v>
      </c>
      <c r="H742" s="0" t="n">
        <v>79094</v>
      </c>
      <c r="I742" s="0" t="n">
        <v>27441</v>
      </c>
      <c r="J742" s="0" t="n">
        <v>54.2</v>
      </c>
      <c r="K742" s="0" t="n">
        <v>5</v>
      </c>
      <c r="L742" s="0" t="n">
        <v>262</v>
      </c>
      <c r="M742" s="0" t="s">
        <v>35</v>
      </c>
      <c r="N742" s="0" t="s">
        <v>67</v>
      </c>
    </row>
    <row r="743" customFormat="false" ht="15" hidden="false" customHeight="false" outlineLevel="0" collapsed="false">
      <c r="A743" s="0" t="s">
        <v>1582</v>
      </c>
      <c r="B743" s="0" t="s">
        <v>850</v>
      </c>
      <c r="C743" s="0" t="s">
        <v>152</v>
      </c>
      <c r="D743" s="0" t="s">
        <v>89</v>
      </c>
      <c r="E743" s="0" t="s">
        <v>335</v>
      </c>
      <c r="F743" s="0" t="s">
        <v>197</v>
      </c>
      <c r="G743" s="0" t="n">
        <v>1424358</v>
      </c>
      <c r="H743" s="0" t="n">
        <v>37723</v>
      </c>
      <c r="I743" s="0" t="n">
        <v>9195</v>
      </c>
      <c r="J743" s="0" t="n">
        <v>48.9</v>
      </c>
      <c r="K743" s="0" t="n">
        <v>24</v>
      </c>
      <c r="L743" s="0" t="n">
        <v>784</v>
      </c>
      <c r="M743" s="0" t="s">
        <v>20</v>
      </c>
      <c r="N743" s="0" t="s">
        <v>81</v>
      </c>
    </row>
    <row r="744" customFormat="false" ht="15" hidden="false" customHeight="false" outlineLevel="0" collapsed="false">
      <c r="A744" s="0" t="s">
        <v>1583</v>
      </c>
      <c r="B744" s="0" t="s">
        <v>1250</v>
      </c>
      <c r="C744" s="0" t="s">
        <v>478</v>
      </c>
      <c r="D744" s="0" t="s">
        <v>65</v>
      </c>
      <c r="E744" s="0" t="s">
        <v>60</v>
      </c>
      <c r="F744" s="0" t="s">
        <v>18</v>
      </c>
      <c r="G744" s="0" t="n">
        <v>2106912</v>
      </c>
      <c r="H744" s="0" t="n">
        <v>69936</v>
      </c>
      <c r="I744" s="0" t="n">
        <v>20749</v>
      </c>
      <c r="J744" s="0" t="n">
        <v>35.1</v>
      </c>
      <c r="K744" s="0" t="n">
        <v>15</v>
      </c>
      <c r="L744" s="0" t="n">
        <v>588</v>
      </c>
      <c r="M744" s="0" t="s">
        <v>54</v>
      </c>
      <c r="N744" s="0" t="s">
        <v>102</v>
      </c>
    </row>
    <row r="745" customFormat="false" ht="15" hidden="false" customHeight="false" outlineLevel="0" collapsed="false">
      <c r="A745" s="0" t="s">
        <v>1584</v>
      </c>
      <c r="B745" s="0" t="s">
        <v>1234</v>
      </c>
      <c r="C745" s="0" t="s">
        <v>492</v>
      </c>
      <c r="D745" s="0" t="s">
        <v>71</v>
      </c>
      <c r="E745" s="0" t="s">
        <v>679</v>
      </c>
      <c r="F745" s="0" t="s">
        <v>110</v>
      </c>
      <c r="G745" s="0" t="n">
        <v>1875222</v>
      </c>
      <c r="H745" s="0" t="n">
        <v>49304</v>
      </c>
      <c r="I745" s="0" t="n">
        <v>15660</v>
      </c>
      <c r="J745" s="0" t="n">
        <v>34.3</v>
      </c>
      <c r="K745" s="0" t="n">
        <v>9</v>
      </c>
      <c r="L745" s="0" t="n">
        <v>741</v>
      </c>
      <c r="M745" s="0" t="s">
        <v>20</v>
      </c>
      <c r="N745" s="0" t="s">
        <v>96</v>
      </c>
    </row>
    <row r="746" customFormat="false" ht="15" hidden="false" customHeight="false" outlineLevel="0" collapsed="false">
      <c r="A746" s="0" t="s">
        <v>1585</v>
      </c>
      <c r="B746" s="0" t="s">
        <v>850</v>
      </c>
      <c r="C746" s="0" t="s">
        <v>129</v>
      </c>
      <c r="D746" s="0" t="s">
        <v>89</v>
      </c>
      <c r="E746" s="0" t="s">
        <v>126</v>
      </c>
      <c r="F746" s="0" t="s">
        <v>292</v>
      </c>
      <c r="G746" s="0" t="n">
        <v>1460433</v>
      </c>
      <c r="H746" s="0" t="n">
        <v>36986</v>
      </c>
      <c r="I746" s="0" t="n">
        <v>10046</v>
      </c>
      <c r="J746" s="0" t="n">
        <v>20.4</v>
      </c>
      <c r="K746" s="0" t="n">
        <v>12</v>
      </c>
      <c r="L746" s="0" t="n">
        <v>581</v>
      </c>
      <c r="M746" s="0" t="s">
        <v>35</v>
      </c>
      <c r="N746" s="0" t="s">
        <v>81</v>
      </c>
    </row>
    <row r="747" customFormat="false" ht="15" hidden="false" customHeight="false" outlineLevel="0" collapsed="false">
      <c r="A747" s="0" t="s">
        <v>1586</v>
      </c>
      <c r="B747" s="0" t="s">
        <v>1587</v>
      </c>
      <c r="C747" s="0" t="s">
        <v>152</v>
      </c>
      <c r="D747" s="0" t="s">
        <v>25</v>
      </c>
      <c r="E747" s="0" t="s">
        <v>346</v>
      </c>
      <c r="F747" s="0" t="s">
        <v>110</v>
      </c>
      <c r="G747" s="0" t="n">
        <v>1632190</v>
      </c>
      <c r="H747" s="0" t="n">
        <v>56982</v>
      </c>
      <c r="I747" s="0" t="n">
        <v>15136</v>
      </c>
      <c r="J747" s="0" t="n">
        <v>13.8</v>
      </c>
      <c r="K747" s="0" t="n">
        <v>25</v>
      </c>
      <c r="L747" s="0" t="n">
        <v>663</v>
      </c>
      <c r="M747" s="0" t="s">
        <v>20</v>
      </c>
      <c r="N747" s="0" t="s">
        <v>122</v>
      </c>
    </row>
    <row r="748" customFormat="false" ht="15" hidden="false" customHeight="false" outlineLevel="0" collapsed="false">
      <c r="A748" s="0" t="s">
        <v>1588</v>
      </c>
      <c r="B748" s="0" t="s">
        <v>1589</v>
      </c>
      <c r="C748" s="0" t="s">
        <v>590</v>
      </c>
      <c r="D748" s="0" t="s">
        <v>89</v>
      </c>
      <c r="E748" s="0" t="s">
        <v>153</v>
      </c>
      <c r="F748" s="0" t="s">
        <v>154</v>
      </c>
      <c r="G748" s="0" t="n">
        <v>1729679</v>
      </c>
      <c r="H748" s="0" t="n">
        <v>38387</v>
      </c>
      <c r="I748" s="0" t="n">
        <v>11178</v>
      </c>
      <c r="J748" s="0" t="n">
        <v>35.6</v>
      </c>
      <c r="K748" s="0" t="n">
        <v>21</v>
      </c>
      <c r="L748" s="0" t="n">
        <v>633</v>
      </c>
      <c r="M748" s="0" t="s">
        <v>35</v>
      </c>
      <c r="N748" s="0" t="s">
        <v>67</v>
      </c>
    </row>
    <row r="749" customFormat="false" ht="15" hidden="false" customHeight="false" outlineLevel="0" collapsed="false">
      <c r="A749" s="0" t="s">
        <v>1590</v>
      </c>
      <c r="B749" s="0" t="s">
        <v>1060</v>
      </c>
      <c r="C749" s="0" t="s">
        <v>630</v>
      </c>
      <c r="D749" s="0" t="s">
        <v>46</v>
      </c>
      <c r="E749" s="0" t="s">
        <v>372</v>
      </c>
      <c r="F749" s="0" t="s">
        <v>220</v>
      </c>
      <c r="G749" s="0" t="n">
        <v>1736892</v>
      </c>
      <c r="H749" s="0" t="n">
        <v>50800</v>
      </c>
      <c r="I749" s="0" t="n">
        <v>16400</v>
      </c>
      <c r="J749" s="0" t="n">
        <v>55</v>
      </c>
      <c r="K749" s="0" t="n">
        <v>12</v>
      </c>
      <c r="L749" s="0" t="n">
        <v>176</v>
      </c>
      <c r="M749" s="0" t="s">
        <v>35</v>
      </c>
      <c r="N749" s="0" t="s">
        <v>102</v>
      </c>
    </row>
    <row r="750" customFormat="false" ht="15" hidden="false" customHeight="false" outlineLevel="0" collapsed="false">
      <c r="A750" s="0" t="s">
        <v>1591</v>
      </c>
      <c r="B750" s="0" t="s">
        <v>1592</v>
      </c>
      <c r="C750" s="0" t="s">
        <v>1174</v>
      </c>
      <c r="D750" s="0" t="s">
        <v>25</v>
      </c>
      <c r="E750" s="0" t="s">
        <v>177</v>
      </c>
      <c r="F750" s="0" t="s">
        <v>314</v>
      </c>
      <c r="G750" s="0" t="n">
        <v>2459803</v>
      </c>
      <c r="H750" s="0" t="n">
        <v>69390</v>
      </c>
      <c r="I750" s="0" t="n">
        <v>26661</v>
      </c>
      <c r="J750" s="0" t="n">
        <v>58.8</v>
      </c>
      <c r="K750" s="0" t="n">
        <v>6</v>
      </c>
      <c r="L750" s="0" t="n">
        <v>432</v>
      </c>
      <c r="M750" s="0" t="s">
        <v>54</v>
      </c>
      <c r="N750" s="0" t="s">
        <v>74</v>
      </c>
    </row>
    <row r="751" customFormat="false" ht="15" hidden="false" customHeight="false" outlineLevel="0" collapsed="false">
      <c r="A751" s="0" t="s">
        <v>1593</v>
      </c>
      <c r="B751" s="0" t="s">
        <v>1594</v>
      </c>
      <c r="C751" s="0" t="s">
        <v>1083</v>
      </c>
      <c r="D751" s="0" t="s">
        <v>65</v>
      </c>
      <c r="E751" s="0" t="s">
        <v>52</v>
      </c>
      <c r="F751" s="0" t="s">
        <v>121</v>
      </c>
      <c r="G751" s="0" t="n">
        <v>2469886</v>
      </c>
      <c r="H751" s="0" t="n">
        <v>58004</v>
      </c>
      <c r="I751" s="0" t="n">
        <v>21167</v>
      </c>
      <c r="J751" s="0" t="n">
        <v>10.9</v>
      </c>
      <c r="K751" s="0" t="n">
        <v>7</v>
      </c>
      <c r="L751" s="0" t="n">
        <v>316</v>
      </c>
      <c r="M751" s="0" t="s">
        <v>20</v>
      </c>
      <c r="N751" s="0" t="s">
        <v>122</v>
      </c>
    </row>
    <row r="752" customFormat="false" ht="15" hidden="false" customHeight="false" outlineLevel="0" collapsed="false">
      <c r="A752" s="0" t="s">
        <v>1595</v>
      </c>
      <c r="B752" s="0" t="s">
        <v>1596</v>
      </c>
      <c r="C752" s="0" t="s">
        <v>1597</v>
      </c>
      <c r="D752" s="0" t="s">
        <v>89</v>
      </c>
      <c r="E752" s="0" t="s">
        <v>262</v>
      </c>
      <c r="F752" s="0" t="s">
        <v>310</v>
      </c>
      <c r="G752" s="0" t="n">
        <v>1830427</v>
      </c>
      <c r="H752" s="0" t="n">
        <v>50364</v>
      </c>
      <c r="I752" s="0" t="n">
        <v>12497</v>
      </c>
      <c r="J752" s="0" t="n">
        <v>15.2</v>
      </c>
      <c r="K752" s="0" t="n">
        <v>6</v>
      </c>
      <c r="L752" s="0" t="n">
        <v>439</v>
      </c>
      <c r="M752" s="0" t="s">
        <v>54</v>
      </c>
      <c r="N752" s="0" t="s">
        <v>42</v>
      </c>
    </row>
    <row r="753" customFormat="false" ht="15" hidden="false" customHeight="false" outlineLevel="0" collapsed="false">
      <c r="A753" s="0" t="s">
        <v>1598</v>
      </c>
      <c r="B753" s="0" t="s">
        <v>1599</v>
      </c>
      <c r="C753" s="0" t="s">
        <v>338</v>
      </c>
      <c r="D753" s="0" t="s">
        <v>65</v>
      </c>
      <c r="E753" s="0" t="s">
        <v>306</v>
      </c>
      <c r="F753" s="0" t="s">
        <v>435</v>
      </c>
      <c r="G753" s="0" t="n">
        <v>1958623</v>
      </c>
      <c r="H753" s="0" t="n">
        <v>45355</v>
      </c>
      <c r="I753" s="0" t="n">
        <v>16692</v>
      </c>
      <c r="J753" s="0" t="n">
        <v>59.5</v>
      </c>
      <c r="K753" s="0" t="n">
        <v>24</v>
      </c>
      <c r="L753" s="0" t="n">
        <v>685</v>
      </c>
      <c r="M753" s="0" t="s">
        <v>35</v>
      </c>
      <c r="N753" s="0" t="s">
        <v>96</v>
      </c>
    </row>
    <row r="754" customFormat="false" ht="15" hidden="false" customHeight="false" outlineLevel="0" collapsed="false">
      <c r="A754" s="0" t="s">
        <v>1600</v>
      </c>
      <c r="B754" s="0" t="s">
        <v>499</v>
      </c>
      <c r="C754" s="0" t="s">
        <v>70</v>
      </c>
      <c r="D754" s="0" t="s">
        <v>144</v>
      </c>
      <c r="E754" s="0" t="s">
        <v>451</v>
      </c>
      <c r="F754" s="0" t="s">
        <v>257</v>
      </c>
      <c r="G754" s="0" t="n">
        <v>1219248</v>
      </c>
      <c r="H754" s="0" t="n">
        <v>30982</v>
      </c>
      <c r="I754" s="0" t="n">
        <v>7613</v>
      </c>
      <c r="J754" s="0" t="n">
        <v>33.6</v>
      </c>
      <c r="K754" s="0" t="n">
        <v>7</v>
      </c>
      <c r="L754" s="0" t="n">
        <v>217</v>
      </c>
      <c r="M754" s="0" t="s">
        <v>20</v>
      </c>
      <c r="N754" s="0" t="s">
        <v>28</v>
      </c>
    </row>
    <row r="755" customFormat="false" ht="15" hidden="false" customHeight="false" outlineLevel="0" collapsed="false">
      <c r="A755" s="0" t="s">
        <v>1601</v>
      </c>
      <c r="B755" s="0" t="s">
        <v>1129</v>
      </c>
      <c r="C755" s="0" t="s">
        <v>232</v>
      </c>
      <c r="D755" s="0" t="s">
        <v>144</v>
      </c>
      <c r="E755" s="0" t="s">
        <v>95</v>
      </c>
      <c r="F755" s="0" t="s">
        <v>47</v>
      </c>
      <c r="G755" s="0" t="n">
        <v>1352568</v>
      </c>
      <c r="H755" s="0" t="n">
        <v>31309</v>
      </c>
      <c r="I755" s="0" t="n">
        <v>7873</v>
      </c>
      <c r="J755" s="0" t="n">
        <v>32.9</v>
      </c>
      <c r="K755" s="0" t="n">
        <v>11</v>
      </c>
      <c r="L755" s="0" t="n">
        <v>418</v>
      </c>
      <c r="M755" s="0" t="s">
        <v>20</v>
      </c>
      <c r="N755" s="0" t="s">
        <v>81</v>
      </c>
    </row>
    <row r="756" customFormat="false" ht="15" hidden="false" customHeight="false" outlineLevel="0" collapsed="false">
      <c r="A756" s="0" t="s">
        <v>1602</v>
      </c>
      <c r="B756" s="0" t="s">
        <v>1103</v>
      </c>
      <c r="C756" s="0" t="s">
        <v>902</v>
      </c>
      <c r="D756" s="0" t="s">
        <v>71</v>
      </c>
      <c r="E756" s="0" t="s">
        <v>115</v>
      </c>
      <c r="F756" s="0" t="s">
        <v>248</v>
      </c>
      <c r="G756" s="0" t="n">
        <v>1560089</v>
      </c>
      <c r="H756" s="0" t="n">
        <v>48882</v>
      </c>
      <c r="I756" s="0" t="n">
        <v>16615</v>
      </c>
      <c r="J756" s="0" t="n">
        <v>27.3</v>
      </c>
      <c r="K756" s="0" t="n">
        <v>10</v>
      </c>
      <c r="L756" s="0" t="n">
        <v>285</v>
      </c>
      <c r="M756" s="0" t="s">
        <v>54</v>
      </c>
      <c r="N756" s="0" t="s">
        <v>102</v>
      </c>
    </row>
    <row r="757" customFormat="false" ht="15" hidden="false" customHeight="false" outlineLevel="0" collapsed="false">
      <c r="A757" s="0" t="s">
        <v>1603</v>
      </c>
      <c r="B757" s="0" t="s">
        <v>1604</v>
      </c>
      <c r="C757" s="0" t="s">
        <v>661</v>
      </c>
      <c r="D757" s="0" t="s">
        <v>65</v>
      </c>
      <c r="E757" s="0" t="s">
        <v>121</v>
      </c>
      <c r="F757" s="0" t="s">
        <v>347</v>
      </c>
      <c r="G757" s="0" t="n">
        <v>2321141</v>
      </c>
      <c r="H757" s="0" t="n">
        <v>87688</v>
      </c>
      <c r="I757" s="0" t="n">
        <v>22182</v>
      </c>
      <c r="J757" s="0" t="n">
        <v>24.5</v>
      </c>
      <c r="K757" s="0" t="n">
        <v>16</v>
      </c>
      <c r="L757" s="0" t="n">
        <v>560</v>
      </c>
      <c r="M757" s="0" t="s">
        <v>35</v>
      </c>
      <c r="N757" s="0" t="s">
        <v>55</v>
      </c>
    </row>
    <row r="758" customFormat="false" ht="15" hidden="false" customHeight="false" outlineLevel="0" collapsed="false">
      <c r="A758" s="0" t="s">
        <v>1605</v>
      </c>
      <c r="B758" s="0" t="s">
        <v>1005</v>
      </c>
      <c r="C758" s="0" t="s">
        <v>172</v>
      </c>
      <c r="D758" s="0" t="s">
        <v>25</v>
      </c>
      <c r="E758" s="0" t="s">
        <v>440</v>
      </c>
      <c r="F758" s="0" t="s">
        <v>159</v>
      </c>
      <c r="G758" s="0" t="n">
        <v>3572047</v>
      </c>
      <c r="H758" s="0" t="n">
        <v>113674</v>
      </c>
      <c r="I758" s="0" t="n">
        <v>29752</v>
      </c>
      <c r="J758" s="0" t="n">
        <v>57.9</v>
      </c>
      <c r="K758" s="0" t="n">
        <v>22</v>
      </c>
      <c r="L758" s="0" t="n">
        <v>563</v>
      </c>
      <c r="M758" s="0" t="s">
        <v>35</v>
      </c>
      <c r="N758" s="0" t="s">
        <v>102</v>
      </c>
    </row>
    <row r="759" customFormat="false" ht="15" hidden="false" customHeight="false" outlineLevel="0" collapsed="false">
      <c r="A759" s="0" t="s">
        <v>1606</v>
      </c>
      <c r="B759" s="0" t="s">
        <v>57</v>
      </c>
      <c r="C759" s="0" t="s">
        <v>800</v>
      </c>
      <c r="D759" s="0" t="s">
        <v>46</v>
      </c>
      <c r="E759" s="0" t="s">
        <v>425</v>
      </c>
      <c r="F759" s="0" t="s">
        <v>41</v>
      </c>
      <c r="G759" s="0" t="n">
        <v>1868792</v>
      </c>
      <c r="H759" s="0" t="n">
        <v>61390</v>
      </c>
      <c r="I759" s="0" t="n">
        <v>14250</v>
      </c>
      <c r="J759" s="0" t="n">
        <v>36.1</v>
      </c>
      <c r="K759" s="0" t="n">
        <v>7</v>
      </c>
      <c r="L759" s="0" t="n">
        <v>340</v>
      </c>
      <c r="M759" s="0" t="s">
        <v>35</v>
      </c>
      <c r="N759" s="0" t="s">
        <v>96</v>
      </c>
    </row>
    <row r="760" customFormat="false" ht="15" hidden="false" customHeight="false" outlineLevel="0" collapsed="false">
      <c r="A760" s="0" t="s">
        <v>1607</v>
      </c>
      <c r="B760" s="0" t="s">
        <v>1608</v>
      </c>
      <c r="C760" s="0" t="s">
        <v>773</v>
      </c>
      <c r="D760" s="0" t="s">
        <v>109</v>
      </c>
      <c r="E760" s="0" t="s">
        <v>253</v>
      </c>
      <c r="F760" s="0" t="s">
        <v>53</v>
      </c>
      <c r="G760" s="0" t="n">
        <v>1190986</v>
      </c>
      <c r="H760" s="0" t="n">
        <v>43829</v>
      </c>
      <c r="I760" s="0" t="n">
        <v>10812</v>
      </c>
      <c r="J760" s="0" t="n">
        <v>25.7</v>
      </c>
      <c r="K760" s="0" t="n">
        <v>7</v>
      </c>
      <c r="L760" s="0" t="n">
        <v>468</v>
      </c>
      <c r="M760" s="0" t="s">
        <v>20</v>
      </c>
      <c r="N760" s="0" t="s">
        <v>96</v>
      </c>
    </row>
    <row r="761" customFormat="false" ht="15" hidden="false" customHeight="false" outlineLevel="0" collapsed="false">
      <c r="A761" s="0" t="s">
        <v>1609</v>
      </c>
      <c r="B761" s="0" t="s">
        <v>504</v>
      </c>
      <c r="C761" s="0" t="s">
        <v>867</v>
      </c>
      <c r="D761" s="0" t="s">
        <v>32</v>
      </c>
      <c r="E761" s="0" t="s">
        <v>111</v>
      </c>
      <c r="F761" s="0" t="s">
        <v>472</v>
      </c>
      <c r="G761" s="0" t="n">
        <v>6186676</v>
      </c>
      <c r="H761" s="0" t="n">
        <v>188047</v>
      </c>
      <c r="I761" s="0" t="n">
        <v>76833</v>
      </c>
      <c r="J761" s="0" t="n">
        <v>33.3</v>
      </c>
      <c r="K761" s="0" t="n">
        <v>8</v>
      </c>
      <c r="L761" s="0" t="n">
        <v>343</v>
      </c>
      <c r="M761" s="0" t="s">
        <v>20</v>
      </c>
      <c r="N761" s="0" t="s">
        <v>28</v>
      </c>
    </row>
    <row r="762" customFormat="false" ht="15" hidden="false" customHeight="false" outlineLevel="0" collapsed="false">
      <c r="A762" s="0" t="s">
        <v>1610</v>
      </c>
      <c r="B762" s="0" t="s">
        <v>814</v>
      </c>
      <c r="C762" s="0" t="s">
        <v>696</v>
      </c>
      <c r="D762" s="0" t="s">
        <v>71</v>
      </c>
      <c r="E762" s="0" t="s">
        <v>329</v>
      </c>
      <c r="F762" s="0" t="s">
        <v>182</v>
      </c>
      <c r="G762" s="0" t="n">
        <v>983967</v>
      </c>
      <c r="H762" s="0" t="n">
        <v>26942</v>
      </c>
      <c r="I762" s="0" t="n">
        <v>7648</v>
      </c>
      <c r="J762" s="0" t="n">
        <v>4.7</v>
      </c>
      <c r="K762" s="0" t="n">
        <v>24</v>
      </c>
      <c r="L762" s="0" t="n">
        <v>697</v>
      </c>
      <c r="M762" s="0" t="s">
        <v>54</v>
      </c>
      <c r="N762" s="0" t="s">
        <v>74</v>
      </c>
    </row>
    <row r="763" customFormat="false" ht="15" hidden="false" customHeight="false" outlineLevel="0" collapsed="false">
      <c r="A763" s="0" t="s">
        <v>1611</v>
      </c>
      <c r="B763" s="0" t="s">
        <v>1374</v>
      </c>
      <c r="C763" s="0" t="s">
        <v>152</v>
      </c>
      <c r="D763" s="0" t="s">
        <v>89</v>
      </c>
      <c r="E763" s="0" t="s">
        <v>335</v>
      </c>
      <c r="F763" s="0" t="s">
        <v>115</v>
      </c>
      <c r="G763" s="0" t="n">
        <v>1272346</v>
      </c>
      <c r="H763" s="0" t="n">
        <v>28809</v>
      </c>
      <c r="I763" s="0" t="n">
        <v>10021</v>
      </c>
      <c r="J763" s="0" t="n">
        <v>5.2</v>
      </c>
      <c r="K763" s="0" t="n">
        <v>22</v>
      </c>
      <c r="L763" s="0" t="n">
        <v>449</v>
      </c>
      <c r="M763" s="0" t="s">
        <v>54</v>
      </c>
      <c r="N763" s="0" t="s">
        <v>55</v>
      </c>
    </row>
    <row r="764" customFormat="false" ht="15" hidden="false" customHeight="false" outlineLevel="0" collapsed="false">
      <c r="A764" s="0" t="s">
        <v>1612</v>
      </c>
      <c r="B764" s="0" t="s">
        <v>1474</v>
      </c>
      <c r="C764" s="0" t="s">
        <v>84</v>
      </c>
      <c r="D764" s="0" t="s">
        <v>71</v>
      </c>
      <c r="E764" s="0" t="s">
        <v>26</v>
      </c>
      <c r="F764" s="0" t="s">
        <v>213</v>
      </c>
      <c r="G764" s="0" t="n">
        <v>1507749</v>
      </c>
      <c r="H764" s="0" t="n">
        <v>32696</v>
      </c>
      <c r="I764" s="0" t="n">
        <v>12586</v>
      </c>
      <c r="J764" s="0" t="n">
        <v>13.8</v>
      </c>
      <c r="K764" s="0" t="n">
        <v>16</v>
      </c>
      <c r="L764" s="0" t="n">
        <v>340</v>
      </c>
      <c r="M764" s="0" t="s">
        <v>54</v>
      </c>
      <c r="N764" s="0" t="s">
        <v>81</v>
      </c>
    </row>
    <row r="765" customFormat="false" ht="15" hidden="false" customHeight="false" outlineLevel="0" collapsed="false">
      <c r="A765" s="0" t="s">
        <v>1613</v>
      </c>
      <c r="B765" s="0" t="s">
        <v>1614</v>
      </c>
      <c r="C765" s="0" t="s">
        <v>944</v>
      </c>
      <c r="D765" s="0" t="s">
        <v>17</v>
      </c>
      <c r="E765" s="0" t="s">
        <v>618</v>
      </c>
      <c r="F765" s="0" t="s">
        <v>339</v>
      </c>
      <c r="G765" s="0" t="n">
        <v>1428140</v>
      </c>
      <c r="H765" s="0" t="n">
        <v>33680</v>
      </c>
      <c r="I765" s="0" t="n">
        <v>7635</v>
      </c>
      <c r="J765" s="0" t="n">
        <v>47.9</v>
      </c>
      <c r="K765" s="0" t="n">
        <v>18</v>
      </c>
      <c r="L765" s="0" t="n">
        <v>748</v>
      </c>
      <c r="M765" s="0" t="s">
        <v>54</v>
      </c>
      <c r="N765" s="0" t="s">
        <v>81</v>
      </c>
    </row>
    <row r="766" customFormat="false" ht="15" hidden="false" customHeight="false" outlineLevel="0" collapsed="false">
      <c r="A766" s="0" t="s">
        <v>1615</v>
      </c>
      <c r="B766" s="0" t="s">
        <v>1270</v>
      </c>
      <c r="C766" s="0" t="s">
        <v>486</v>
      </c>
      <c r="D766" s="0" t="s">
        <v>17</v>
      </c>
      <c r="E766" s="0" t="s">
        <v>40</v>
      </c>
      <c r="F766" s="0" t="s">
        <v>90</v>
      </c>
      <c r="G766" s="0" t="n">
        <v>1934860</v>
      </c>
      <c r="H766" s="0" t="n">
        <v>43042</v>
      </c>
      <c r="I766" s="0" t="n">
        <v>13264</v>
      </c>
      <c r="J766" s="0" t="n">
        <v>45.3</v>
      </c>
      <c r="K766" s="0" t="n">
        <v>18</v>
      </c>
      <c r="L766" s="0" t="n">
        <v>243</v>
      </c>
      <c r="M766" s="0" t="s">
        <v>54</v>
      </c>
      <c r="N766" s="0" t="s">
        <v>122</v>
      </c>
    </row>
    <row r="767" customFormat="false" ht="15" hidden="false" customHeight="false" outlineLevel="0" collapsed="false">
      <c r="A767" s="0" t="s">
        <v>1616</v>
      </c>
      <c r="B767" s="0" t="s">
        <v>1617</v>
      </c>
      <c r="C767" s="0" t="s">
        <v>806</v>
      </c>
      <c r="D767" s="0" t="s">
        <v>144</v>
      </c>
      <c r="E767" s="0" t="s">
        <v>372</v>
      </c>
      <c r="F767" s="0" t="s">
        <v>34</v>
      </c>
      <c r="G767" s="0" t="n">
        <v>2340520</v>
      </c>
      <c r="H767" s="0" t="n">
        <v>49301</v>
      </c>
      <c r="I767" s="0" t="n">
        <v>17686</v>
      </c>
      <c r="J767" s="0" t="n">
        <v>45.6</v>
      </c>
      <c r="K767" s="0" t="n">
        <v>20</v>
      </c>
      <c r="L767" s="0" t="n">
        <v>780</v>
      </c>
      <c r="M767" s="0" t="s">
        <v>35</v>
      </c>
      <c r="N767" s="0" t="s">
        <v>122</v>
      </c>
    </row>
    <row r="768" customFormat="false" ht="15" hidden="false" customHeight="false" outlineLevel="0" collapsed="false">
      <c r="A768" s="0" t="s">
        <v>1618</v>
      </c>
      <c r="B768" s="0" t="s">
        <v>1295</v>
      </c>
      <c r="C768" s="0" t="s">
        <v>795</v>
      </c>
      <c r="D768" s="0" t="s">
        <v>17</v>
      </c>
      <c r="E768" s="0" t="s">
        <v>407</v>
      </c>
      <c r="F768" s="0" t="s">
        <v>238</v>
      </c>
      <c r="G768" s="0" t="n">
        <v>1435307</v>
      </c>
      <c r="H768" s="0" t="n">
        <v>43956</v>
      </c>
      <c r="I768" s="0" t="n">
        <v>13917</v>
      </c>
      <c r="J768" s="0" t="n">
        <v>43.2</v>
      </c>
      <c r="K768" s="0" t="n">
        <v>17</v>
      </c>
      <c r="L768" s="0" t="n">
        <v>609</v>
      </c>
      <c r="M768" s="0" t="s">
        <v>20</v>
      </c>
      <c r="N768" s="0" t="s">
        <v>122</v>
      </c>
    </row>
    <row r="769" customFormat="false" ht="15" hidden="false" customHeight="false" outlineLevel="0" collapsed="false">
      <c r="A769" s="0" t="s">
        <v>1619</v>
      </c>
      <c r="B769" s="0" t="s">
        <v>364</v>
      </c>
      <c r="C769" s="0" t="s">
        <v>867</v>
      </c>
      <c r="D769" s="0" t="s">
        <v>89</v>
      </c>
      <c r="E769" s="0" t="s">
        <v>153</v>
      </c>
      <c r="F769" s="0" t="s">
        <v>544</v>
      </c>
      <c r="G769" s="0" t="n">
        <v>1271355</v>
      </c>
      <c r="H769" s="0" t="n">
        <v>30357</v>
      </c>
      <c r="I769" s="0" t="n">
        <v>7893</v>
      </c>
      <c r="J769" s="0" t="n">
        <v>23.5</v>
      </c>
      <c r="K769" s="0" t="n">
        <v>18</v>
      </c>
      <c r="L769" s="0" t="n">
        <v>787</v>
      </c>
      <c r="M769" s="0" t="s">
        <v>54</v>
      </c>
      <c r="N769" s="0" t="s">
        <v>81</v>
      </c>
    </row>
    <row r="770" customFormat="false" ht="15" hidden="false" customHeight="false" outlineLevel="0" collapsed="false">
      <c r="A770" s="0" t="s">
        <v>1620</v>
      </c>
      <c r="B770" s="0" t="s">
        <v>1621</v>
      </c>
      <c r="C770" s="0" t="s">
        <v>1220</v>
      </c>
      <c r="D770" s="0" t="s">
        <v>71</v>
      </c>
      <c r="E770" s="0" t="s">
        <v>472</v>
      </c>
      <c r="F770" s="0" t="s">
        <v>95</v>
      </c>
      <c r="G770" s="0" t="n">
        <v>1756916</v>
      </c>
      <c r="H770" s="0" t="n">
        <v>52141</v>
      </c>
      <c r="I770" s="0" t="n">
        <v>16880</v>
      </c>
      <c r="J770" s="0" t="n">
        <v>22.2</v>
      </c>
      <c r="K770" s="0" t="n">
        <v>9</v>
      </c>
      <c r="L770" s="0" t="n">
        <v>247</v>
      </c>
      <c r="M770" s="0" t="s">
        <v>35</v>
      </c>
      <c r="N770" s="0" t="s">
        <v>74</v>
      </c>
    </row>
    <row r="771" customFormat="false" ht="15" hidden="false" customHeight="false" outlineLevel="0" collapsed="false">
      <c r="A771" s="0" t="s">
        <v>1622</v>
      </c>
      <c r="B771" s="0" t="s">
        <v>1371</v>
      </c>
      <c r="C771" s="0" t="s">
        <v>247</v>
      </c>
      <c r="D771" s="0" t="s">
        <v>65</v>
      </c>
      <c r="E771" s="0" t="s">
        <v>198</v>
      </c>
      <c r="F771" s="0" t="s">
        <v>552</v>
      </c>
      <c r="G771" s="0" t="n">
        <v>1376050</v>
      </c>
      <c r="H771" s="0" t="n">
        <v>43110</v>
      </c>
      <c r="I771" s="0" t="n">
        <v>8835</v>
      </c>
      <c r="J771" s="0" t="n">
        <v>43.2</v>
      </c>
      <c r="K771" s="0" t="n">
        <v>13</v>
      </c>
      <c r="L771" s="0" t="n">
        <v>798</v>
      </c>
      <c r="M771" s="0" t="s">
        <v>20</v>
      </c>
      <c r="N771" s="0" t="s">
        <v>55</v>
      </c>
    </row>
    <row r="772" customFormat="false" ht="15" hidden="false" customHeight="false" outlineLevel="0" collapsed="false">
      <c r="A772" s="0" t="s">
        <v>1623</v>
      </c>
      <c r="B772" s="0" t="s">
        <v>517</v>
      </c>
      <c r="C772" s="0" t="s">
        <v>832</v>
      </c>
      <c r="D772" s="0" t="s">
        <v>144</v>
      </c>
      <c r="E772" s="0" t="s">
        <v>248</v>
      </c>
      <c r="F772" s="0" t="s">
        <v>198</v>
      </c>
      <c r="G772" s="0" t="n">
        <v>1208450</v>
      </c>
      <c r="H772" s="0" t="n">
        <v>33194</v>
      </c>
      <c r="I772" s="0" t="n">
        <v>10094</v>
      </c>
      <c r="J772" s="0" t="n">
        <v>7.2</v>
      </c>
      <c r="K772" s="0" t="n">
        <v>23</v>
      </c>
      <c r="L772" s="0" t="n">
        <v>424</v>
      </c>
      <c r="M772" s="0" t="s">
        <v>54</v>
      </c>
      <c r="N772" s="0" t="s">
        <v>28</v>
      </c>
    </row>
    <row r="773" customFormat="false" ht="15" hidden="false" customHeight="false" outlineLevel="0" collapsed="false">
      <c r="A773" s="0" t="s">
        <v>1624</v>
      </c>
      <c r="B773" s="0" t="s">
        <v>291</v>
      </c>
      <c r="C773" s="0" t="s">
        <v>157</v>
      </c>
      <c r="D773" s="0" t="s">
        <v>78</v>
      </c>
      <c r="E773" s="0" t="s">
        <v>168</v>
      </c>
      <c r="F773" s="0" t="s">
        <v>61</v>
      </c>
      <c r="G773" s="0" t="n">
        <v>3950462</v>
      </c>
      <c r="H773" s="0" t="n">
        <v>178409</v>
      </c>
      <c r="I773" s="0" t="n">
        <v>40497</v>
      </c>
      <c r="J773" s="0" t="n">
        <v>37.7</v>
      </c>
      <c r="K773" s="0" t="n">
        <v>15</v>
      </c>
      <c r="L773" s="0" t="n">
        <v>154</v>
      </c>
      <c r="M773" s="0" t="s">
        <v>20</v>
      </c>
      <c r="N773" s="0" t="s">
        <v>55</v>
      </c>
    </row>
    <row r="774" customFormat="false" ht="15" hidden="false" customHeight="false" outlineLevel="0" collapsed="false">
      <c r="A774" s="0" t="s">
        <v>1625</v>
      </c>
      <c r="B774" s="0" t="s">
        <v>1292</v>
      </c>
      <c r="C774" s="0" t="s">
        <v>478</v>
      </c>
      <c r="D774" s="0" t="s">
        <v>39</v>
      </c>
      <c r="E774" s="0" t="s">
        <v>53</v>
      </c>
      <c r="F774" s="0" t="s">
        <v>241</v>
      </c>
      <c r="G774" s="0" t="n">
        <v>2904872</v>
      </c>
      <c r="H774" s="0" t="n">
        <v>98275</v>
      </c>
      <c r="I774" s="0" t="n">
        <v>37799</v>
      </c>
      <c r="J774" s="0" t="n">
        <v>48.6</v>
      </c>
      <c r="K774" s="0" t="n">
        <v>6</v>
      </c>
      <c r="L774" s="0" t="n">
        <v>517</v>
      </c>
      <c r="M774" s="0" t="s">
        <v>54</v>
      </c>
      <c r="N774" s="0" t="s">
        <v>67</v>
      </c>
    </row>
    <row r="775" customFormat="false" ht="15" hidden="false" customHeight="false" outlineLevel="0" collapsed="false">
      <c r="A775" s="0" t="s">
        <v>1626</v>
      </c>
      <c r="B775" s="0" t="s">
        <v>400</v>
      </c>
      <c r="C775" s="0" t="s">
        <v>327</v>
      </c>
      <c r="D775" s="0" t="s">
        <v>109</v>
      </c>
      <c r="E775" s="0" t="s">
        <v>176</v>
      </c>
      <c r="F775" s="0" t="s">
        <v>288</v>
      </c>
      <c r="G775" s="0" t="n">
        <v>1516297</v>
      </c>
      <c r="H775" s="0" t="n">
        <v>51651</v>
      </c>
      <c r="I775" s="0" t="n">
        <v>12135</v>
      </c>
      <c r="J775" s="0" t="n">
        <v>26.3</v>
      </c>
      <c r="K775" s="0" t="n">
        <v>10</v>
      </c>
      <c r="L775" s="0" t="n">
        <v>328</v>
      </c>
      <c r="M775" s="0" t="s">
        <v>20</v>
      </c>
      <c r="N775" s="0" t="s">
        <v>74</v>
      </c>
    </row>
    <row r="776" customFormat="false" ht="15" hidden="false" customHeight="false" outlineLevel="0" collapsed="false">
      <c r="A776" s="0" t="s">
        <v>1627</v>
      </c>
      <c r="B776" s="0" t="s">
        <v>1628</v>
      </c>
      <c r="C776" s="0" t="s">
        <v>952</v>
      </c>
      <c r="D776" s="0" t="s">
        <v>17</v>
      </c>
      <c r="E776" s="0" t="s">
        <v>539</v>
      </c>
      <c r="F776" s="0" t="s">
        <v>224</v>
      </c>
      <c r="G776" s="0" t="n">
        <v>3101352</v>
      </c>
      <c r="H776" s="0" t="n">
        <v>91210</v>
      </c>
      <c r="I776" s="0" t="n">
        <v>33046</v>
      </c>
      <c r="J776" s="0" t="n">
        <v>7.4</v>
      </c>
      <c r="K776" s="0" t="n">
        <v>11</v>
      </c>
      <c r="L776" s="0" t="n">
        <v>519</v>
      </c>
      <c r="M776" s="0" t="s">
        <v>20</v>
      </c>
      <c r="N776" s="0" t="s">
        <v>96</v>
      </c>
    </row>
    <row r="777" customFormat="false" ht="15" hidden="false" customHeight="false" outlineLevel="0" collapsed="false">
      <c r="A777" s="0" t="s">
        <v>1629</v>
      </c>
      <c r="B777" s="0" t="s">
        <v>974</v>
      </c>
      <c r="C777" s="0" t="s">
        <v>51</v>
      </c>
      <c r="D777" s="0" t="s">
        <v>32</v>
      </c>
      <c r="E777" s="0" t="s">
        <v>558</v>
      </c>
      <c r="F777" s="0" t="s">
        <v>788</v>
      </c>
      <c r="G777" s="0" t="n">
        <v>2397131</v>
      </c>
      <c r="H777" s="0" t="n">
        <v>112203</v>
      </c>
      <c r="I777" s="0" t="n">
        <v>31085</v>
      </c>
      <c r="J777" s="0" t="n">
        <v>21.2</v>
      </c>
      <c r="K777" s="0" t="n">
        <v>5</v>
      </c>
      <c r="L777" s="0" t="n">
        <v>791</v>
      </c>
      <c r="M777" s="0" t="s">
        <v>20</v>
      </c>
      <c r="N777" s="0" t="s">
        <v>81</v>
      </c>
    </row>
    <row r="778" customFormat="false" ht="15" hidden="false" customHeight="false" outlineLevel="0" collapsed="false">
      <c r="A778" s="0" t="s">
        <v>1630</v>
      </c>
      <c r="B778" s="0" t="s">
        <v>1631</v>
      </c>
      <c r="C778" s="0" t="s">
        <v>626</v>
      </c>
      <c r="D778" s="0" t="s">
        <v>39</v>
      </c>
      <c r="E778" s="0" t="s">
        <v>418</v>
      </c>
      <c r="F778" s="0" t="s">
        <v>27</v>
      </c>
      <c r="G778" s="0" t="n">
        <v>2802089</v>
      </c>
      <c r="H778" s="0" t="n">
        <v>134115</v>
      </c>
      <c r="I778" s="0" t="n">
        <v>31267</v>
      </c>
      <c r="J778" s="0" t="n">
        <v>22.3</v>
      </c>
      <c r="K778" s="0" t="n">
        <v>6</v>
      </c>
      <c r="L778" s="0" t="n">
        <v>306</v>
      </c>
      <c r="M778" s="0" t="s">
        <v>35</v>
      </c>
      <c r="N778" s="0" t="s">
        <v>55</v>
      </c>
    </row>
    <row r="779" customFormat="false" ht="15" hidden="false" customHeight="false" outlineLevel="0" collapsed="false">
      <c r="A779" s="0" t="s">
        <v>1632</v>
      </c>
      <c r="B779" s="0" t="s">
        <v>1633</v>
      </c>
      <c r="C779" s="0" t="s">
        <v>947</v>
      </c>
      <c r="D779" s="0" t="s">
        <v>32</v>
      </c>
      <c r="E779" s="0" t="s">
        <v>241</v>
      </c>
      <c r="F779" s="0" t="s">
        <v>357</v>
      </c>
      <c r="G779" s="0" t="n">
        <v>2141676</v>
      </c>
      <c r="H779" s="0" t="n">
        <v>63733</v>
      </c>
      <c r="I779" s="0" t="n">
        <v>24330</v>
      </c>
      <c r="J779" s="0" t="n">
        <v>44.7</v>
      </c>
      <c r="K779" s="0" t="n">
        <v>13</v>
      </c>
      <c r="L779" s="0" t="n">
        <v>185</v>
      </c>
      <c r="M779" s="0" t="s">
        <v>54</v>
      </c>
      <c r="N779" s="0" t="s">
        <v>55</v>
      </c>
    </row>
    <row r="780" customFormat="false" ht="15" hidden="false" customHeight="false" outlineLevel="0" collapsed="false">
      <c r="A780" s="0" t="s">
        <v>1634</v>
      </c>
      <c r="B780" s="0" t="s">
        <v>515</v>
      </c>
      <c r="C780" s="0" t="s">
        <v>867</v>
      </c>
      <c r="D780" s="0" t="s">
        <v>65</v>
      </c>
      <c r="E780" s="0" t="s">
        <v>675</v>
      </c>
      <c r="F780" s="0" t="s">
        <v>544</v>
      </c>
      <c r="G780" s="0" t="n">
        <v>1824604</v>
      </c>
      <c r="H780" s="0" t="n">
        <v>67828</v>
      </c>
      <c r="I780" s="0" t="n">
        <v>14395</v>
      </c>
      <c r="J780" s="0" t="n">
        <v>52.6</v>
      </c>
      <c r="K780" s="0" t="n">
        <v>11</v>
      </c>
      <c r="L780" s="0" t="n">
        <v>377</v>
      </c>
      <c r="M780" s="0" t="s">
        <v>20</v>
      </c>
      <c r="N780" s="0" t="s">
        <v>122</v>
      </c>
    </row>
    <row r="781" customFormat="false" ht="15" hidden="false" customHeight="false" outlineLevel="0" collapsed="false">
      <c r="A781" s="0" t="s">
        <v>1635</v>
      </c>
      <c r="B781" s="0" t="s">
        <v>231</v>
      </c>
      <c r="C781" s="0" t="s">
        <v>784</v>
      </c>
      <c r="D781" s="0" t="s">
        <v>46</v>
      </c>
      <c r="E781" s="0" t="s">
        <v>666</v>
      </c>
      <c r="F781" s="0" t="s">
        <v>176</v>
      </c>
      <c r="G781" s="0" t="n">
        <v>2719247</v>
      </c>
      <c r="H781" s="0" t="n">
        <v>92883</v>
      </c>
      <c r="I781" s="0" t="n">
        <v>24631</v>
      </c>
      <c r="J781" s="0" t="n">
        <v>35.3</v>
      </c>
      <c r="K781" s="0" t="n">
        <v>8</v>
      </c>
      <c r="L781" s="0" t="n">
        <v>574</v>
      </c>
      <c r="M781" s="0" t="s">
        <v>35</v>
      </c>
      <c r="N781" s="0" t="s">
        <v>122</v>
      </c>
    </row>
    <row r="782" customFormat="false" ht="15" hidden="false" customHeight="false" outlineLevel="0" collapsed="false">
      <c r="A782" s="0" t="s">
        <v>1636</v>
      </c>
      <c r="B782" s="0" t="s">
        <v>1120</v>
      </c>
      <c r="C782" s="0" t="s">
        <v>406</v>
      </c>
      <c r="D782" s="0" t="s">
        <v>65</v>
      </c>
      <c r="E782" s="0" t="s">
        <v>176</v>
      </c>
      <c r="F782" s="0" t="s">
        <v>368</v>
      </c>
      <c r="G782" s="0" t="n">
        <v>2239025</v>
      </c>
      <c r="H782" s="0" t="n">
        <v>68230</v>
      </c>
      <c r="I782" s="0" t="n">
        <v>20468</v>
      </c>
      <c r="J782" s="0" t="n">
        <v>52.3</v>
      </c>
      <c r="K782" s="0" t="n">
        <v>18</v>
      </c>
      <c r="L782" s="0" t="n">
        <v>289</v>
      </c>
      <c r="M782" s="0" t="s">
        <v>20</v>
      </c>
      <c r="N782" s="0" t="s">
        <v>96</v>
      </c>
    </row>
    <row r="783" customFormat="false" ht="15" hidden="false" customHeight="false" outlineLevel="0" collapsed="false">
      <c r="A783" s="0" t="s">
        <v>1637</v>
      </c>
      <c r="B783" s="0" t="s">
        <v>1638</v>
      </c>
      <c r="C783" s="0" t="s">
        <v>1597</v>
      </c>
      <c r="D783" s="0" t="s">
        <v>59</v>
      </c>
      <c r="E783" s="0" t="s">
        <v>18</v>
      </c>
      <c r="F783" s="0" t="s">
        <v>233</v>
      </c>
      <c r="G783" s="0" t="n">
        <v>2452542</v>
      </c>
      <c r="H783" s="0" t="n">
        <v>130841</v>
      </c>
      <c r="I783" s="0" t="n">
        <v>43638</v>
      </c>
      <c r="J783" s="0" t="n">
        <v>51.3</v>
      </c>
      <c r="K783" s="0" t="n">
        <v>14</v>
      </c>
      <c r="L783" s="0" t="n">
        <v>266</v>
      </c>
      <c r="M783" s="0" t="s">
        <v>20</v>
      </c>
      <c r="N783" s="0" t="s">
        <v>102</v>
      </c>
    </row>
    <row r="784" customFormat="false" ht="15" hidden="false" customHeight="false" outlineLevel="0" collapsed="false">
      <c r="A784" s="0" t="s">
        <v>1639</v>
      </c>
      <c r="B784" s="0" t="s">
        <v>1016</v>
      </c>
      <c r="C784" s="0" t="s">
        <v>983</v>
      </c>
      <c r="D784" s="0" t="s">
        <v>78</v>
      </c>
      <c r="E784" s="0" t="s">
        <v>422</v>
      </c>
      <c r="F784" s="0" t="s">
        <v>314</v>
      </c>
      <c r="G784" s="0" t="n">
        <v>3653748</v>
      </c>
      <c r="H784" s="0" t="n">
        <v>139419</v>
      </c>
      <c r="I784" s="0" t="n">
        <v>41874</v>
      </c>
      <c r="J784" s="0" t="n">
        <v>3.1</v>
      </c>
      <c r="K784" s="0" t="n">
        <v>10</v>
      </c>
      <c r="L784" s="0" t="n">
        <v>585</v>
      </c>
      <c r="M784" s="0" t="s">
        <v>20</v>
      </c>
      <c r="N784" s="0" t="s">
        <v>55</v>
      </c>
    </row>
    <row r="785" customFormat="false" ht="15" hidden="false" customHeight="false" outlineLevel="0" collapsed="false">
      <c r="A785" s="0" t="s">
        <v>1640</v>
      </c>
      <c r="B785" s="0" t="s">
        <v>844</v>
      </c>
      <c r="C785" s="0" t="s">
        <v>731</v>
      </c>
      <c r="D785" s="0" t="s">
        <v>39</v>
      </c>
      <c r="E785" s="0" t="s">
        <v>198</v>
      </c>
      <c r="F785" s="0" t="s">
        <v>435</v>
      </c>
      <c r="G785" s="0" t="n">
        <v>2252807</v>
      </c>
      <c r="H785" s="0" t="n">
        <v>107010</v>
      </c>
      <c r="I785" s="0" t="n">
        <v>36177</v>
      </c>
      <c r="J785" s="0" t="n">
        <v>27.6</v>
      </c>
      <c r="K785" s="0" t="n">
        <v>13</v>
      </c>
      <c r="L785" s="0" t="n">
        <v>353</v>
      </c>
      <c r="M785" s="0" t="s">
        <v>54</v>
      </c>
      <c r="N785" s="0" t="s">
        <v>21</v>
      </c>
    </row>
    <row r="786" customFormat="false" ht="15" hidden="false" customHeight="false" outlineLevel="0" collapsed="false">
      <c r="A786" s="0" t="s">
        <v>1641</v>
      </c>
      <c r="B786" s="0" t="s">
        <v>1642</v>
      </c>
      <c r="C786" s="0" t="s">
        <v>1014</v>
      </c>
      <c r="D786" s="0" t="s">
        <v>144</v>
      </c>
      <c r="E786" s="0" t="s">
        <v>158</v>
      </c>
      <c r="F786" s="0" t="s">
        <v>539</v>
      </c>
      <c r="G786" s="0" t="n">
        <v>1787044</v>
      </c>
      <c r="H786" s="0" t="n">
        <v>43052</v>
      </c>
      <c r="I786" s="0" t="n">
        <v>11368</v>
      </c>
      <c r="J786" s="0" t="n">
        <v>34.1</v>
      </c>
      <c r="K786" s="0" t="n">
        <v>9</v>
      </c>
      <c r="L786" s="0" t="n">
        <v>219</v>
      </c>
      <c r="M786" s="0" t="s">
        <v>54</v>
      </c>
      <c r="N786" s="0" t="s">
        <v>55</v>
      </c>
    </row>
    <row r="787" customFormat="false" ht="15" hidden="false" customHeight="false" outlineLevel="0" collapsed="false">
      <c r="A787" s="0" t="s">
        <v>1643</v>
      </c>
      <c r="B787" s="0" t="s">
        <v>685</v>
      </c>
      <c r="C787" s="0" t="s">
        <v>492</v>
      </c>
      <c r="D787" s="0" t="s">
        <v>65</v>
      </c>
      <c r="E787" s="0" t="s">
        <v>357</v>
      </c>
      <c r="F787" s="0" t="s">
        <v>266</v>
      </c>
      <c r="G787" s="0" t="n">
        <v>2044755</v>
      </c>
      <c r="H787" s="0" t="n">
        <v>65206</v>
      </c>
      <c r="I787" s="0" t="n">
        <v>24794</v>
      </c>
      <c r="J787" s="0" t="n">
        <v>30.2</v>
      </c>
      <c r="K787" s="0" t="n">
        <v>20</v>
      </c>
      <c r="L787" s="0" t="n">
        <v>599</v>
      </c>
      <c r="M787" s="0" t="s">
        <v>54</v>
      </c>
      <c r="N787" s="0" t="s">
        <v>140</v>
      </c>
    </row>
    <row r="788" customFormat="false" ht="15" hidden="false" customHeight="false" outlineLevel="0" collapsed="false">
      <c r="A788" s="0" t="s">
        <v>1644</v>
      </c>
      <c r="B788" s="0" t="s">
        <v>1645</v>
      </c>
      <c r="C788" s="0" t="s">
        <v>1020</v>
      </c>
      <c r="D788" s="0" t="s">
        <v>59</v>
      </c>
      <c r="E788" s="0" t="s">
        <v>101</v>
      </c>
      <c r="F788" s="0" t="s">
        <v>788</v>
      </c>
      <c r="G788" s="0" t="n">
        <v>1906510</v>
      </c>
      <c r="H788" s="0" t="n">
        <v>73921</v>
      </c>
      <c r="I788" s="0" t="n">
        <v>19000</v>
      </c>
      <c r="J788" s="0" t="n">
        <v>48.3</v>
      </c>
      <c r="K788" s="0" t="n">
        <v>23</v>
      </c>
      <c r="L788" s="0" t="n">
        <v>170</v>
      </c>
      <c r="M788" s="0" t="s">
        <v>35</v>
      </c>
      <c r="N788" s="0" t="s">
        <v>42</v>
      </c>
    </row>
    <row r="789" customFormat="false" ht="15" hidden="false" customHeight="false" outlineLevel="0" collapsed="false">
      <c r="A789" s="0" t="s">
        <v>1646</v>
      </c>
      <c r="B789" s="0" t="s">
        <v>920</v>
      </c>
      <c r="C789" s="0" t="s">
        <v>952</v>
      </c>
      <c r="D789" s="0" t="s">
        <v>59</v>
      </c>
      <c r="E789" s="0" t="s">
        <v>306</v>
      </c>
      <c r="F789" s="0" t="s">
        <v>435</v>
      </c>
      <c r="G789" s="0" t="n">
        <v>4180374</v>
      </c>
      <c r="H789" s="0" t="n">
        <v>205993</v>
      </c>
      <c r="I789" s="0" t="n">
        <v>76204</v>
      </c>
      <c r="J789" s="0" t="n">
        <v>12.2</v>
      </c>
      <c r="K789" s="0" t="n">
        <v>23</v>
      </c>
      <c r="L789" s="0" t="n">
        <v>763</v>
      </c>
      <c r="M789" s="0" t="s">
        <v>20</v>
      </c>
      <c r="N789" s="0" t="s">
        <v>96</v>
      </c>
    </row>
    <row r="790" customFormat="false" ht="15" hidden="false" customHeight="false" outlineLevel="0" collapsed="false">
      <c r="A790" s="0" t="s">
        <v>1647</v>
      </c>
      <c r="B790" s="0" t="s">
        <v>1648</v>
      </c>
      <c r="C790" s="0" t="s">
        <v>1166</v>
      </c>
      <c r="D790" s="0" t="s">
        <v>109</v>
      </c>
      <c r="E790" s="0" t="s">
        <v>154</v>
      </c>
      <c r="F790" s="0" t="s">
        <v>586</v>
      </c>
      <c r="G790" s="0" t="n">
        <v>1361188</v>
      </c>
      <c r="H790" s="0" t="n">
        <v>36694</v>
      </c>
      <c r="I790" s="0" t="n">
        <v>10513</v>
      </c>
      <c r="J790" s="0" t="n">
        <v>16.7</v>
      </c>
      <c r="K790" s="0" t="n">
        <v>25</v>
      </c>
      <c r="L790" s="0" t="n">
        <v>350</v>
      </c>
      <c r="M790" s="0" t="s">
        <v>54</v>
      </c>
      <c r="N790" s="0" t="s">
        <v>42</v>
      </c>
    </row>
    <row r="791" customFormat="false" ht="15" hidden="false" customHeight="false" outlineLevel="0" collapsed="false">
      <c r="A791" s="0" t="s">
        <v>1649</v>
      </c>
      <c r="B791" s="0" t="s">
        <v>1650</v>
      </c>
      <c r="C791" s="0" t="s">
        <v>388</v>
      </c>
      <c r="D791" s="0" t="s">
        <v>65</v>
      </c>
      <c r="E791" s="0" t="s">
        <v>372</v>
      </c>
      <c r="F791" s="0" t="s">
        <v>72</v>
      </c>
      <c r="G791" s="0" t="n">
        <v>1524757</v>
      </c>
      <c r="H791" s="0" t="n">
        <v>56639</v>
      </c>
      <c r="I791" s="0" t="n">
        <v>16067</v>
      </c>
      <c r="J791" s="0" t="n">
        <v>35.3</v>
      </c>
      <c r="K791" s="0" t="n">
        <v>24</v>
      </c>
      <c r="L791" s="0" t="n">
        <v>800</v>
      </c>
      <c r="M791" s="0" t="s">
        <v>20</v>
      </c>
      <c r="N791" s="0" t="s">
        <v>102</v>
      </c>
    </row>
    <row r="792" customFormat="false" ht="15" hidden="false" customHeight="false" outlineLevel="0" collapsed="false">
      <c r="A792" s="0" t="s">
        <v>1651</v>
      </c>
      <c r="B792" s="0" t="s">
        <v>1599</v>
      </c>
      <c r="C792" s="0" t="s">
        <v>561</v>
      </c>
      <c r="D792" s="0" t="s">
        <v>65</v>
      </c>
      <c r="E792" s="0" t="s">
        <v>679</v>
      </c>
      <c r="F792" s="0" t="s">
        <v>110</v>
      </c>
      <c r="G792" s="0" t="n">
        <v>2294080</v>
      </c>
      <c r="H792" s="0" t="n">
        <v>78596</v>
      </c>
      <c r="I792" s="0" t="n">
        <v>24982</v>
      </c>
      <c r="J792" s="0" t="n">
        <v>18.8</v>
      </c>
      <c r="K792" s="0" t="n">
        <v>12</v>
      </c>
      <c r="L792" s="0" t="n">
        <v>467</v>
      </c>
      <c r="M792" s="0" t="s">
        <v>20</v>
      </c>
      <c r="N792" s="0" t="s">
        <v>102</v>
      </c>
    </row>
    <row r="793" customFormat="false" ht="15" hidden="false" customHeight="false" outlineLevel="0" collapsed="false">
      <c r="A793" s="0" t="s">
        <v>1652</v>
      </c>
      <c r="B793" s="0" t="s">
        <v>502</v>
      </c>
      <c r="C793" s="0" t="s">
        <v>295</v>
      </c>
      <c r="D793" s="0" t="s">
        <v>25</v>
      </c>
      <c r="E793" s="0" t="s">
        <v>451</v>
      </c>
      <c r="F793" s="0" t="s">
        <v>229</v>
      </c>
      <c r="G793" s="0" t="n">
        <v>4197534</v>
      </c>
      <c r="H793" s="0" t="n">
        <v>101898</v>
      </c>
      <c r="I793" s="0" t="n">
        <v>36628</v>
      </c>
      <c r="J793" s="0" t="n">
        <v>45.7</v>
      </c>
      <c r="K793" s="0" t="n">
        <v>8</v>
      </c>
      <c r="L793" s="0" t="n">
        <v>154</v>
      </c>
      <c r="M793" s="0" t="s">
        <v>20</v>
      </c>
      <c r="N793" s="0" t="s">
        <v>67</v>
      </c>
    </row>
    <row r="794" customFormat="false" ht="15" hidden="false" customHeight="false" outlineLevel="0" collapsed="false">
      <c r="A794" s="0" t="s">
        <v>1653</v>
      </c>
      <c r="B794" s="0" t="s">
        <v>617</v>
      </c>
      <c r="C794" s="0" t="s">
        <v>217</v>
      </c>
      <c r="D794" s="0" t="s">
        <v>109</v>
      </c>
      <c r="E794" s="0" t="s">
        <v>314</v>
      </c>
      <c r="F794" s="0" t="s">
        <v>115</v>
      </c>
      <c r="G794" s="0" t="n">
        <v>1768536</v>
      </c>
      <c r="H794" s="0" t="n">
        <v>71518</v>
      </c>
      <c r="I794" s="0" t="n">
        <v>21029</v>
      </c>
      <c r="J794" s="0" t="n">
        <v>51.6</v>
      </c>
      <c r="K794" s="0" t="n">
        <v>5</v>
      </c>
      <c r="L794" s="0" t="n">
        <v>358</v>
      </c>
      <c r="M794" s="0" t="s">
        <v>54</v>
      </c>
      <c r="N794" s="0" t="s">
        <v>55</v>
      </c>
    </row>
    <row r="795" customFormat="false" ht="15" hidden="false" customHeight="false" outlineLevel="0" collapsed="false">
      <c r="A795" s="0" t="s">
        <v>1654</v>
      </c>
      <c r="B795" s="0" t="s">
        <v>1655</v>
      </c>
      <c r="C795" s="0" t="s">
        <v>523</v>
      </c>
      <c r="D795" s="0" t="s">
        <v>89</v>
      </c>
      <c r="E795" s="0" t="s">
        <v>229</v>
      </c>
      <c r="F795" s="0" t="s">
        <v>224</v>
      </c>
      <c r="G795" s="0" t="n">
        <v>1248510</v>
      </c>
      <c r="H795" s="0" t="n">
        <v>42307</v>
      </c>
      <c r="I795" s="0" t="n">
        <v>12592</v>
      </c>
      <c r="J795" s="0" t="n">
        <v>26.1</v>
      </c>
      <c r="K795" s="0" t="n">
        <v>21</v>
      </c>
      <c r="L795" s="0" t="n">
        <v>624</v>
      </c>
      <c r="M795" s="0" t="s">
        <v>35</v>
      </c>
      <c r="N795" s="0" t="s">
        <v>55</v>
      </c>
    </row>
    <row r="796" customFormat="false" ht="15" hidden="false" customHeight="false" outlineLevel="0" collapsed="false">
      <c r="A796" s="0" t="s">
        <v>1656</v>
      </c>
      <c r="B796" s="0" t="s">
        <v>764</v>
      </c>
      <c r="C796" s="0" t="s">
        <v>1056</v>
      </c>
      <c r="D796" s="0" t="s">
        <v>17</v>
      </c>
      <c r="E796" s="0" t="s">
        <v>116</v>
      </c>
      <c r="F796" s="0" t="s">
        <v>390</v>
      </c>
      <c r="G796" s="0" t="n">
        <v>2883068</v>
      </c>
      <c r="H796" s="0" t="n">
        <v>99094</v>
      </c>
      <c r="I796" s="0" t="n">
        <v>26634</v>
      </c>
      <c r="J796" s="0" t="n">
        <v>16.7</v>
      </c>
      <c r="K796" s="0" t="n">
        <v>19</v>
      </c>
      <c r="L796" s="0" t="n">
        <v>335</v>
      </c>
      <c r="M796" s="0" t="s">
        <v>20</v>
      </c>
      <c r="N796" s="0" t="s">
        <v>140</v>
      </c>
    </row>
    <row r="797" customFormat="false" ht="15" hidden="false" customHeight="false" outlineLevel="0" collapsed="false">
      <c r="A797" s="0" t="s">
        <v>1657</v>
      </c>
      <c r="B797" s="0" t="s">
        <v>548</v>
      </c>
      <c r="C797" s="0" t="s">
        <v>295</v>
      </c>
      <c r="D797" s="0" t="s">
        <v>71</v>
      </c>
      <c r="E797" s="0" t="s">
        <v>27</v>
      </c>
      <c r="F797" s="0" t="s">
        <v>1658</v>
      </c>
      <c r="G797" s="0" t="n">
        <v>1092424</v>
      </c>
      <c r="H797" s="0" t="n">
        <v>24919</v>
      </c>
      <c r="I797" s="0" t="n">
        <v>6158</v>
      </c>
      <c r="J797" s="0" t="n">
        <v>41.6</v>
      </c>
      <c r="K797" s="0" t="n">
        <v>6</v>
      </c>
      <c r="L797" s="0" t="n">
        <v>494</v>
      </c>
      <c r="M797" s="0" t="s">
        <v>20</v>
      </c>
      <c r="N797" s="0" t="s">
        <v>74</v>
      </c>
    </row>
    <row r="798" customFormat="false" ht="15" hidden="false" customHeight="false" outlineLevel="0" collapsed="false">
      <c r="A798" s="0" t="s">
        <v>1659</v>
      </c>
      <c r="B798" s="0" t="s">
        <v>613</v>
      </c>
      <c r="C798" s="0" t="s">
        <v>840</v>
      </c>
      <c r="D798" s="0" t="s">
        <v>46</v>
      </c>
      <c r="E798" s="0" t="s">
        <v>204</v>
      </c>
      <c r="F798" s="0" t="s">
        <v>347</v>
      </c>
      <c r="G798" s="0" t="n">
        <v>2278278</v>
      </c>
      <c r="H798" s="0" t="n">
        <v>58112</v>
      </c>
      <c r="I798" s="0" t="n">
        <v>14186</v>
      </c>
      <c r="J798" s="0" t="n">
        <v>14.1</v>
      </c>
      <c r="K798" s="0" t="n">
        <v>24</v>
      </c>
      <c r="L798" s="0" t="n">
        <v>305</v>
      </c>
      <c r="M798" s="0" t="s">
        <v>20</v>
      </c>
      <c r="N798" s="0" t="s">
        <v>122</v>
      </c>
    </row>
    <row r="799" customFormat="false" ht="15" hidden="false" customHeight="false" outlineLevel="0" collapsed="false">
      <c r="A799" s="0" t="s">
        <v>1660</v>
      </c>
      <c r="B799" s="0" t="s">
        <v>615</v>
      </c>
      <c r="C799" s="0" t="s">
        <v>815</v>
      </c>
      <c r="D799" s="0" t="s">
        <v>109</v>
      </c>
      <c r="E799" s="0" t="s">
        <v>224</v>
      </c>
      <c r="F799" s="0" t="s">
        <v>279</v>
      </c>
      <c r="G799" s="0" t="n">
        <v>2176669</v>
      </c>
      <c r="H799" s="0" t="n">
        <v>89134</v>
      </c>
      <c r="I799" s="0" t="n">
        <v>22520</v>
      </c>
      <c r="J799" s="0" t="n">
        <v>50.6</v>
      </c>
      <c r="K799" s="0" t="n">
        <v>17</v>
      </c>
      <c r="L799" s="0" t="n">
        <v>169</v>
      </c>
      <c r="M799" s="0" t="s">
        <v>54</v>
      </c>
      <c r="N799" s="0" t="s">
        <v>74</v>
      </c>
    </row>
    <row r="800" customFormat="false" ht="15" hidden="false" customHeight="false" outlineLevel="0" collapsed="false">
      <c r="A800" s="0" t="s">
        <v>1661</v>
      </c>
      <c r="B800" s="0" t="s">
        <v>1662</v>
      </c>
      <c r="C800" s="0" t="s">
        <v>1106</v>
      </c>
      <c r="D800" s="0" t="s">
        <v>109</v>
      </c>
      <c r="E800" s="0" t="s">
        <v>26</v>
      </c>
      <c r="F800" s="0" t="s">
        <v>756</v>
      </c>
      <c r="G800" s="0" t="n">
        <v>1357016</v>
      </c>
      <c r="H800" s="0" t="n">
        <v>38237</v>
      </c>
      <c r="I800" s="0" t="n">
        <v>10267</v>
      </c>
      <c r="J800" s="0" t="n">
        <v>42.5</v>
      </c>
      <c r="K800" s="0" t="n">
        <v>24</v>
      </c>
      <c r="L800" s="0" t="n">
        <v>218</v>
      </c>
      <c r="M800" s="0" t="s">
        <v>35</v>
      </c>
      <c r="N800" s="0" t="s">
        <v>96</v>
      </c>
    </row>
    <row r="801" customFormat="false" ht="15" hidden="false" customHeight="false" outlineLevel="0" collapsed="false">
      <c r="A801" s="0" t="s">
        <v>1663</v>
      </c>
      <c r="B801" s="0" t="s">
        <v>972</v>
      </c>
      <c r="C801" s="0" t="s">
        <v>421</v>
      </c>
      <c r="D801" s="0" t="s">
        <v>46</v>
      </c>
      <c r="E801" s="0" t="s">
        <v>299</v>
      </c>
      <c r="F801" s="0" t="s">
        <v>80</v>
      </c>
      <c r="G801" s="0" t="n">
        <v>2850859</v>
      </c>
      <c r="H801" s="0" t="n">
        <v>98825</v>
      </c>
      <c r="I801" s="0" t="n">
        <v>31117</v>
      </c>
      <c r="J801" s="0" t="n">
        <v>14.5</v>
      </c>
      <c r="K801" s="0" t="n">
        <v>22</v>
      </c>
      <c r="L801" s="0" t="n">
        <v>554</v>
      </c>
      <c r="M801" s="0" t="s">
        <v>54</v>
      </c>
      <c r="N801" s="0" t="s">
        <v>74</v>
      </c>
    </row>
    <row r="802" customFormat="false" ht="15" hidden="false" customHeight="false" outlineLevel="0" collapsed="false">
      <c r="A802" s="0" t="s">
        <v>1664</v>
      </c>
      <c r="B802" s="0" t="s">
        <v>1210</v>
      </c>
      <c r="C802" s="0" t="s">
        <v>247</v>
      </c>
      <c r="D802" s="0" t="s">
        <v>78</v>
      </c>
      <c r="E802" s="0" t="s">
        <v>310</v>
      </c>
      <c r="F802" s="0" t="s">
        <v>126</v>
      </c>
      <c r="G802" s="0" t="n">
        <v>2385579</v>
      </c>
      <c r="H802" s="0" t="n">
        <v>109706</v>
      </c>
      <c r="I802" s="0" t="n">
        <v>31296</v>
      </c>
      <c r="J802" s="0" t="n">
        <v>14.7</v>
      </c>
      <c r="K802" s="0" t="n">
        <v>7</v>
      </c>
      <c r="L802" s="0" t="n">
        <v>156</v>
      </c>
      <c r="M802" s="0" t="s">
        <v>20</v>
      </c>
      <c r="N802" s="0" t="s">
        <v>96</v>
      </c>
    </row>
    <row r="803" customFormat="false" ht="15" hidden="false" customHeight="false" outlineLevel="0" collapsed="false">
      <c r="A803" s="0" t="s">
        <v>1665</v>
      </c>
      <c r="B803" s="0" t="s">
        <v>261</v>
      </c>
      <c r="C803" s="0" t="s">
        <v>1511</v>
      </c>
      <c r="D803" s="0" t="s">
        <v>46</v>
      </c>
      <c r="E803" s="0" t="s">
        <v>487</v>
      </c>
      <c r="F803" s="0" t="s">
        <v>266</v>
      </c>
      <c r="G803" s="0" t="n">
        <v>2653130</v>
      </c>
      <c r="H803" s="0" t="n">
        <v>84344</v>
      </c>
      <c r="I803" s="0" t="n">
        <v>20358</v>
      </c>
      <c r="J803" s="0" t="n">
        <v>40.4</v>
      </c>
      <c r="K803" s="0" t="n">
        <v>13</v>
      </c>
      <c r="L803" s="0" t="n">
        <v>535</v>
      </c>
      <c r="M803" s="0" t="s">
        <v>54</v>
      </c>
      <c r="N803" s="0" t="s">
        <v>67</v>
      </c>
    </row>
    <row r="804" customFormat="false" ht="15" hidden="false" customHeight="false" outlineLevel="0" collapsed="false">
      <c r="A804" s="0" t="s">
        <v>1666</v>
      </c>
      <c r="B804" s="0" t="s">
        <v>1329</v>
      </c>
      <c r="C804" s="0" t="s">
        <v>105</v>
      </c>
      <c r="D804" s="0" t="s">
        <v>46</v>
      </c>
      <c r="E804" s="0" t="s">
        <v>106</v>
      </c>
      <c r="F804" s="0" t="s">
        <v>26</v>
      </c>
      <c r="G804" s="0" t="n">
        <v>1849051</v>
      </c>
      <c r="H804" s="0" t="n">
        <v>49748</v>
      </c>
      <c r="I804" s="0" t="n">
        <v>11350</v>
      </c>
      <c r="J804" s="0" t="n">
        <v>55.7</v>
      </c>
      <c r="K804" s="0" t="n">
        <v>7</v>
      </c>
      <c r="L804" s="0" t="n">
        <v>196</v>
      </c>
      <c r="M804" s="0" t="s">
        <v>20</v>
      </c>
      <c r="N804" s="0" t="s">
        <v>96</v>
      </c>
    </row>
    <row r="805" customFormat="false" ht="15" hidden="false" customHeight="false" outlineLevel="0" collapsed="false">
      <c r="A805" s="0" t="s">
        <v>1667</v>
      </c>
      <c r="B805" s="0" t="s">
        <v>1668</v>
      </c>
      <c r="C805" s="0" t="s">
        <v>143</v>
      </c>
      <c r="D805" s="0" t="s">
        <v>25</v>
      </c>
      <c r="E805" s="0" t="s">
        <v>79</v>
      </c>
      <c r="F805" s="0" t="s">
        <v>80</v>
      </c>
      <c r="G805" s="0" t="n">
        <v>4014626</v>
      </c>
      <c r="H805" s="0" t="n">
        <v>136173</v>
      </c>
      <c r="I805" s="0" t="n">
        <v>28645</v>
      </c>
      <c r="J805" s="0" t="n">
        <v>30.5</v>
      </c>
      <c r="K805" s="0" t="n">
        <v>13</v>
      </c>
      <c r="L805" s="0" t="n">
        <v>692</v>
      </c>
      <c r="M805" s="0" t="s">
        <v>20</v>
      </c>
      <c r="N805" s="0" t="s">
        <v>102</v>
      </c>
    </row>
    <row r="806" customFormat="false" ht="15" hidden="false" customHeight="false" outlineLevel="0" collapsed="false">
      <c r="A806" s="0" t="s">
        <v>1669</v>
      </c>
      <c r="B806" s="0" t="s">
        <v>1094</v>
      </c>
      <c r="C806" s="0" t="s">
        <v>832</v>
      </c>
      <c r="D806" s="0" t="s">
        <v>32</v>
      </c>
      <c r="E806" s="0" t="s">
        <v>1038</v>
      </c>
      <c r="F806" s="0" t="s">
        <v>562</v>
      </c>
      <c r="G806" s="0" t="n">
        <v>6243215</v>
      </c>
      <c r="H806" s="0" t="n">
        <v>188176</v>
      </c>
      <c r="I806" s="0" t="n">
        <v>64685</v>
      </c>
      <c r="J806" s="0" t="n">
        <v>42.4</v>
      </c>
      <c r="K806" s="0" t="n">
        <v>6</v>
      </c>
      <c r="L806" s="0" t="n">
        <v>567</v>
      </c>
      <c r="M806" s="0" t="s">
        <v>20</v>
      </c>
      <c r="N806" s="0" t="s">
        <v>74</v>
      </c>
    </row>
    <row r="807" customFormat="false" ht="15" hidden="false" customHeight="false" outlineLevel="0" collapsed="false">
      <c r="A807" s="0" t="s">
        <v>1670</v>
      </c>
      <c r="B807" s="0" t="s">
        <v>1018</v>
      </c>
      <c r="C807" s="0" t="s">
        <v>583</v>
      </c>
      <c r="D807" s="0" t="s">
        <v>109</v>
      </c>
      <c r="E807" s="0" t="s">
        <v>116</v>
      </c>
      <c r="F807" s="0" t="s">
        <v>197</v>
      </c>
      <c r="G807" s="0" t="n">
        <v>1466400</v>
      </c>
      <c r="H807" s="0" t="n">
        <v>43682</v>
      </c>
      <c r="I807" s="0" t="n">
        <v>14161</v>
      </c>
      <c r="J807" s="0" t="n">
        <v>55.4</v>
      </c>
      <c r="K807" s="0" t="n">
        <v>8</v>
      </c>
      <c r="L807" s="0" t="n">
        <v>690</v>
      </c>
      <c r="M807" s="0" t="s">
        <v>20</v>
      </c>
      <c r="N807" s="0" t="s">
        <v>122</v>
      </c>
    </row>
    <row r="808" customFormat="false" ht="15" hidden="false" customHeight="false" outlineLevel="0" collapsed="false">
      <c r="A808" s="0" t="s">
        <v>1671</v>
      </c>
      <c r="B808" s="0" t="s">
        <v>1672</v>
      </c>
      <c r="C808" s="0" t="s">
        <v>532</v>
      </c>
      <c r="D808" s="0" t="s">
        <v>71</v>
      </c>
      <c r="E808" s="0" t="s">
        <v>111</v>
      </c>
      <c r="F808" s="0" t="s">
        <v>94</v>
      </c>
      <c r="G808" s="0" t="n">
        <v>1370808</v>
      </c>
      <c r="H808" s="0" t="n">
        <v>32553</v>
      </c>
      <c r="I808" s="0" t="n">
        <v>10032</v>
      </c>
      <c r="J808" s="0" t="n">
        <v>33.5</v>
      </c>
      <c r="K808" s="0" t="n">
        <v>8</v>
      </c>
      <c r="L808" s="0" t="n">
        <v>594</v>
      </c>
      <c r="M808" s="0" t="s">
        <v>20</v>
      </c>
      <c r="N808" s="0" t="s">
        <v>67</v>
      </c>
    </row>
    <row r="809" customFormat="false" ht="15" hidden="false" customHeight="false" outlineLevel="0" collapsed="false">
      <c r="A809" s="0" t="s">
        <v>1673</v>
      </c>
      <c r="B809" s="0" t="s">
        <v>1445</v>
      </c>
      <c r="C809" s="0" t="s">
        <v>800</v>
      </c>
      <c r="D809" s="0" t="s">
        <v>25</v>
      </c>
      <c r="E809" s="0" t="s">
        <v>368</v>
      </c>
      <c r="F809" s="0" t="s">
        <v>1038</v>
      </c>
      <c r="G809" s="0" t="n">
        <v>2406935</v>
      </c>
      <c r="H809" s="0" t="n">
        <v>96187</v>
      </c>
      <c r="I809" s="0" t="n">
        <v>24011</v>
      </c>
      <c r="J809" s="0" t="n">
        <v>51.1</v>
      </c>
      <c r="K809" s="0" t="n">
        <v>17</v>
      </c>
      <c r="L809" s="0" t="n">
        <v>203</v>
      </c>
      <c r="M809" s="0" t="s">
        <v>54</v>
      </c>
      <c r="N809" s="0" t="s">
        <v>55</v>
      </c>
    </row>
    <row r="810" customFormat="false" ht="15" hidden="false" customHeight="false" outlineLevel="0" collapsed="false">
      <c r="A810" s="0" t="s">
        <v>1674</v>
      </c>
      <c r="B810" s="0" t="s">
        <v>1675</v>
      </c>
      <c r="C810" s="0" t="s">
        <v>338</v>
      </c>
      <c r="D810" s="0" t="s">
        <v>32</v>
      </c>
      <c r="E810" s="0" t="s">
        <v>666</v>
      </c>
      <c r="F810" s="0" t="s">
        <v>544</v>
      </c>
      <c r="G810" s="0" t="n">
        <v>3049886</v>
      </c>
      <c r="H810" s="0" t="n">
        <v>136663</v>
      </c>
      <c r="I810" s="0" t="n">
        <v>38264</v>
      </c>
      <c r="J810" s="0" t="n">
        <v>8.2</v>
      </c>
      <c r="K810" s="0" t="n">
        <v>25</v>
      </c>
      <c r="L810" s="0" t="n">
        <v>681</v>
      </c>
      <c r="M810" s="0" t="s">
        <v>54</v>
      </c>
      <c r="N810" s="0" t="s">
        <v>55</v>
      </c>
    </row>
    <row r="811" customFormat="false" ht="15" hidden="false" customHeight="false" outlineLevel="0" collapsed="false">
      <c r="A811" s="0" t="s">
        <v>1676</v>
      </c>
      <c r="B811" s="0" t="s">
        <v>261</v>
      </c>
      <c r="C811" s="0" t="s">
        <v>827</v>
      </c>
      <c r="D811" s="0" t="s">
        <v>46</v>
      </c>
      <c r="E811" s="0" t="s">
        <v>238</v>
      </c>
      <c r="F811" s="0" t="s">
        <v>248</v>
      </c>
      <c r="G811" s="0" t="n">
        <v>1549284</v>
      </c>
      <c r="H811" s="0" t="n">
        <v>46583</v>
      </c>
      <c r="I811" s="0" t="n">
        <v>15152</v>
      </c>
      <c r="J811" s="0" t="n">
        <v>7.9</v>
      </c>
      <c r="K811" s="0" t="n">
        <v>12</v>
      </c>
      <c r="L811" s="0" t="n">
        <v>361</v>
      </c>
      <c r="M811" s="0" t="s">
        <v>54</v>
      </c>
      <c r="N811" s="0" t="s">
        <v>42</v>
      </c>
    </row>
    <row r="812" customFormat="false" ht="15" hidden="false" customHeight="false" outlineLevel="0" collapsed="false">
      <c r="A812" s="0" t="s">
        <v>1677</v>
      </c>
      <c r="B812" s="0" t="s">
        <v>1589</v>
      </c>
      <c r="C812" s="0" t="s">
        <v>1066</v>
      </c>
      <c r="D812" s="0" t="s">
        <v>46</v>
      </c>
      <c r="E812" s="0" t="s">
        <v>106</v>
      </c>
      <c r="F812" s="0" t="s">
        <v>418</v>
      </c>
      <c r="G812" s="0" t="n">
        <v>1942019</v>
      </c>
      <c r="H812" s="0" t="n">
        <v>52432</v>
      </c>
      <c r="I812" s="0" t="n">
        <v>12239</v>
      </c>
      <c r="J812" s="0" t="n">
        <v>6.5</v>
      </c>
      <c r="K812" s="0" t="n">
        <v>10</v>
      </c>
      <c r="L812" s="0" t="n">
        <v>239</v>
      </c>
      <c r="M812" s="0" t="s">
        <v>35</v>
      </c>
      <c r="N812" s="0" t="s">
        <v>74</v>
      </c>
    </row>
    <row r="813" customFormat="false" ht="15" hidden="false" customHeight="false" outlineLevel="0" collapsed="false">
      <c r="A813" s="0" t="s">
        <v>1678</v>
      </c>
      <c r="B813" s="0" t="s">
        <v>1679</v>
      </c>
      <c r="C813" s="0" t="s">
        <v>119</v>
      </c>
      <c r="D813" s="0" t="s">
        <v>109</v>
      </c>
      <c r="E813" s="0" t="s">
        <v>47</v>
      </c>
      <c r="F813" s="0" t="s">
        <v>987</v>
      </c>
      <c r="G813" s="0" t="n">
        <v>1320608</v>
      </c>
      <c r="H813" s="0" t="n">
        <v>43748</v>
      </c>
      <c r="I813" s="0" t="n">
        <v>15158</v>
      </c>
      <c r="J813" s="0" t="n">
        <v>28.5</v>
      </c>
      <c r="K813" s="0" t="n">
        <v>5</v>
      </c>
      <c r="L813" s="0" t="n">
        <v>786</v>
      </c>
      <c r="M813" s="0" t="s">
        <v>20</v>
      </c>
      <c r="N813" s="0" t="s">
        <v>55</v>
      </c>
    </row>
    <row r="814" customFormat="false" ht="15" hidden="false" customHeight="false" outlineLevel="0" collapsed="false">
      <c r="A814" s="0" t="s">
        <v>1680</v>
      </c>
      <c r="B814" s="0" t="s">
        <v>1321</v>
      </c>
      <c r="C814" s="0" t="s">
        <v>1681</v>
      </c>
      <c r="D814" s="0" t="s">
        <v>71</v>
      </c>
      <c r="E814" s="0" t="s">
        <v>987</v>
      </c>
      <c r="F814" s="0" t="s">
        <v>48</v>
      </c>
      <c r="G814" s="0" t="n">
        <v>1084188</v>
      </c>
      <c r="H814" s="0" t="n">
        <v>25389</v>
      </c>
      <c r="I814" s="0" t="n">
        <v>7253</v>
      </c>
      <c r="J814" s="0" t="n">
        <v>30.1</v>
      </c>
      <c r="K814" s="0" t="n">
        <v>13</v>
      </c>
      <c r="L814" s="0" t="n">
        <v>530</v>
      </c>
      <c r="M814" s="0" t="s">
        <v>20</v>
      </c>
      <c r="N814" s="0" t="s">
        <v>21</v>
      </c>
    </row>
    <row r="815" customFormat="false" ht="15" hidden="false" customHeight="false" outlineLevel="0" collapsed="false">
      <c r="A815" s="0" t="s">
        <v>1682</v>
      </c>
      <c r="B815" s="0" t="s">
        <v>1154</v>
      </c>
      <c r="C815" s="0" t="s">
        <v>1166</v>
      </c>
      <c r="D815" s="0" t="s">
        <v>39</v>
      </c>
      <c r="E815" s="0" t="s">
        <v>100</v>
      </c>
      <c r="F815" s="0" t="s">
        <v>353</v>
      </c>
      <c r="G815" s="0" t="n">
        <v>1753638</v>
      </c>
      <c r="H815" s="0" t="n">
        <v>84610</v>
      </c>
      <c r="I815" s="0" t="n">
        <v>25950</v>
      </c>
      <c r="J815" s="0" t="n">
        <v>4.3</v>
      </c>
      <c r="K815" s="0" t="n">
        <v>22</v>
      </c>
      <c r="L815" s="0" t="n">
        <v>332</v>
      </c>
      <c r="M815" s="0" t="s">
        <v>54</v>
      </c>
      <c r="N815" s="0" t="s">
        <v>21</v>
      </c>
    </row>
    <row r="816" customFormat="false" ht="15" hidden="false" customHeight="false" outlineLevel="0" collapsed="false">
      <c r="A816" s="0" t="s">
        <v>1683</v>
      </c>
      <c r="B816" s="0" t="s">
        <v>1684</v>
      </c>
      <c r="C816" s="0" t="s">
        <v>812</v>
      </c>
      <c r="D816" s="0" t="s">
        <v>39</v>
      </c>
      <c r="E816" s="0" t="s">
        <v>163</v>
      </c>
      <c r="F816" s="0" t="s">
        <v>244</v>
      </c>
      <c r="G816" s="0" t="n">
        <v>1564408</v>
      </c>
      <c r="H816" s="0" t="n">
        <v>73840</v>
      </c>
      <c r="I816" s="0" t="n">
        <v>19998</v>
      </c>
      <c r="J816" s="0" t="n">
        <v>35.4</v>
      </c>
      <c r="K816" s="0" t="n">
        <v>14</v>
      </c>
      <c r="L816" s="0" t="n">
        <v>389</v>
      </c>
      <c r="M816" s="0" t="s">
        <v>54</v>
      </c>
      <c r="N816" s="0" t="s">
        <v>67</v>
      </c>
    </row>
    <row r="817" customFormat="false" ht="15" hidden="false" customHeight="false" outlineLevel="0" collapsed="false">
      <c r="A817" s="0" t="s">
        <v>1685</v>
      </c>
      <c r="B817" s="0" t="s">
        <v>582</v>
      </c>
      <c r="C817" s="0" t="s">
        <v>362</v>
      </c>
      <c r="D817" s="0" t="s">
        <v>25</v>
      </c>
      <c r="E817" s="0" t="s">
        <v>346</v>
      </c>
      <c r="F817" s="0" t="s">
        <v>205</v>
      </c>
      <c r="G817" s="0" t="n">
        <v>4123194</v>
      </c>
      <c r="H817" s="0" t="n">
        <v>124604</v>
      </c>
      <c r="I817" s="0" t="n">
        <v>34217</v>
      </c>
      <c r="J817" s="0" t="n">
        <v>4.9</v>
      </c>
      <c r="K817" s="0" t="n">
        <v>8</v>
      </c>
      <c r="L817" s="0" t="n">
        <v>175</v>
      </c>
      <c r="M817" s="0" t="s">
        <v>54</v>
      </c>
      <c r="N817" s="0" t="s">
        <v>96</v>
      </c>
    </row>
    <row r="818" customFormat="false" ht="15" hidden="false" customHeight="false" outlineLevel="0" collapsed="false">
      <c r="A818" s="0" t="s">
        <v>1686</v>
      </c>
      <c r="B818" s="0" t="s">
        <v>1687</v>
      </c>
      <c r="C818" s="0" t="s">
        <v>1056</v>
      </c>
      <c r="D818" s="0" t="s">
        <v>78</v>
      </c>
      <c r="E818" s="0" t="s">
        <v>48</v>
      </c>
      <c r="F818" s="0" t="s">
        <v>34</v>
      </c>
      <c r="G818" s="0" t="n">
        <v>2224513</v>
      </c>
      <c r="H818" s="0" t="n">
        <v>75907</v>
      </c>
      <c r="I818" s="0" t="n">
        <v>23284</v>
      </c>
      <c r="J818" s="0" t="n">
        <v>40.9</v>
      </c>
      <c r="K818" s="0" t="n">
        <v>7</v>
      </c>
      <c r="L818" s="0" t="n">
        <v>518</v>
      </c>
      <c r="M818" s="0" t="s">
        <v>20</v>
      </c>
      <c r="N818" s="0" t="s">
        <v>169</v>
      </c>
    </row>
    <row r="819" customFormat="false" ht="15" hidden="false" customHeight="false" outlineLevel="0" collapsed="false">
      <c r="A819" s="0" t="s">
        <v>1688</v>
      </c>
      <c r="B819" s="0" t="s">
        <v>1689</v>
      </c>
      <c r="C819" s="0" t="s">
        <v>129</v>
      </c>
      <c r="D819" s="0" t="s">
        <v>17</v>
      </c>
      <c r="E819" s="0" t="s">
        <v>60</v>
      </c>
      <c r="F819" s="0" t="s">
        <v>19</v>
      </c>
      <c r="G819" s="0" t="n">
        <v>1659991</v>
      </c>
      <c r="H819" s="0" t="n">
        <v>41201</v>
      </c>
      <c r="I819" s="0" t="n">
        <v>13076</v>
      </c>
      <c r="J819" s="0" t="n">
        <v>23</v>
      </c>
      <c r="K819" s="0" t="n">
        <v>19</v>
      </c>
      <c r="L819" s="0" t="n">
        <v>409</v>
      </c>
      <c r="M819" s="0" t="s">
        <v>20</v>
      </c>
      <c r="N819" s="0" t="s">
        <v>55</v>
      </c>
    </row>
    <row r="820" customFormat="false" ht="15" hidden="false" customHeight="false" outlineLevel="0" collapsed="false">
      <c r="A820" s="0" t="s">
        <v>1690</v>
      </c>
      <c r="B820" s="0" t="s">
        <v>897</v>
      </c>
      <c r="C820" s="0" t="s">
        <v>840</v>
      </c>
      <c r="D820" s="0" t="s">
        <v>39</v>
      </c>
      <c r="E820" s="0" t="s">
        <v>679</v>
      </c>
      <c r="F820" s="0" t="s">
        <v>487</v>
      </c>
      <c r="G820" s="0" t="n">
        <v>2874543</v>
      </c>
      <c r="H820" s="0" t="n">
        <v>121845</v>
      </c>
      <c r="I820" s="0" t="n">
        <v>43442</v>
      </c>
      <c r="J820" s="0" t="n">
        <v>52.5</v>
      </c>
      <c r="K820" s="0" t="n">
        <v>10</v>
      </c>
      <c r="L820" s="0" t="n">
        <v>314</v>
      </c>
      <c r="M820" s="0" t="s">
        <v>20</v>
      </c>
      <c r="N820" s="0" t="s">
        <v>42</v>
      </c>
    </row>
    <row r="821" customFormat="false" ht="15" hidden="false" customHeight="false" outlineLevel="0" collapsed="false">
      <c r="A821" s="0" t="s">
        <v>1691</v>
      </c>
      <c r="B821" s="0" t="s">
        <v>1692</v>
      </c>
      <c r="C821" s="0" t="s">
        <v>1176</v>
      </c>
      <c r="D821" s="0" t="s">
        <v>71</v>
      </c>
      <c r="E821" s="0" t="s">
        <v>209</v>
      </c>
      <c r="F821" s="0" t="s">
        <v>457</v>
      </c>
      <c r="G821" s="0" t="n">
        <v>1696048</v>
      </c>
      <c r="H821" s="0" t="n">
        <v>55803</v>
      </c>
      <c r="I821" s="0" t="n">
        <v>16144</v>
      </c>
      <c r="J821" s="0" t="n">
        <v>40.1</v>
      </c>
      <c r="K821" s="0" t="n">
        <v>21</v>
      </c>
      <c r="L821" s="0" t="n">
        <v>259</v>
      </c>
      <c r="M821" s="0" t="s">
        <v>20</v>
      </c>
      <c r="N821" s="0" t="s">
        <v>21</v>
      </c>
    </row>
    <row r="822" customFormat="false" ht="15" hidden="false" customHeight="false" outlineLevel="0" collapsed="false">
      <c r="A822" s="0" t="s">
        <v>1693</v>
      </c>
      <c r="B822" s="0" t="s">
        <v>142</v>
      </c>
      <c r="C822" s="0" t="s">
        <v>410</v>
      </c>
      <c r="D822" s="0" t="s">
        <v>144</v>
      </c>
      <c r="E822" s="0" t="s">
        <v>158</v>
      </c>
      <c r="F822" s="0" t="s">
        <v>163</v>
      </c>
      <c r="G822" s="0" t="n">
        <v>2340483</v>
      </c>
      <c r="H822" s="0" t="n">
        <v>48171</v>
      </c>
      <c r="I822" s="0" t="n">
        <v>17747</v>
      </c>
      <c r="J822" s="0" t="n">
        <v>14</v>
      </c>
      <c r="K822" s="0" t="n">
        <v>21</v>
      </c>
      <c r="L822" s="0" t="n">
        <v>562</v>
      </c>
      <c r="M822" s="0" t="s">
        <v>54</v>
      </c>
      <c r="N822" s="0" t="s">
        <v>42</v>
      </c>
    </row>
    <row r="823" customFormat="false" ht="15" hidden="false" customHeight="false" outlineLevel="0" collapsed="false">
      <c r="A823" s="0" t="s">
        <v>1694</v>
      </c>
      <c r="B823" s="0" t="s">
        <v>1642</v>
      </c>
      <c r="C823" s="0" t="s">
        <v>410</v>
      </c>
      <c r="D823" s="0" t="s">
        <v>144</v>
      </c>
      <c r="E823" s="0" t="s">
        <v>305</v>
      </c>
      <c r="F823" s="0" t="s">
        <v>393</v>
      </c>
      <c r="G823" s="0" t="n">
        <v>1635739</v>
      </c>
      <c r="H823" s="0" t="n">
        <v>37054</v>
      </c>
      <c r="I823" s="0" t="n">
        <v>11158</v>
      </c>
      <c r="J823" s="0" t="n">
        <v>15.1</v>
      </c>
      <c r="K823" s="0" t="n">
        <v>22</v>
      </c>
      <c r="L823" s="0" t="n">
        <v>293</v>
      </c>
      <c r="M823" s="0" t="s">
        <v>54</v>
      </c>
      <c r="N823" s="0" t="s">
        <v>96</v>
      </c>
    </row>
    <row r="824" customFormat="false" ht="15" hidden="false" customHeight="false" outlineLevel="0" collapsed="false">
      <c r="A824" s="0" t="s">
        <v>1695</v>
      </c>
      <c r="B824" s="0" t="s">
        <v>1430</v>
      </c>
      <c r="C824" s="0" t="s">
        <v>578</v>
      </c>
      <c r="D824" s="0" t="s">
        <v>109</v>
      </c>
      <c r="E824" s="0" t="s">
        <v>66</v>
      </c>
      <c r="F824" s="0" t="s">
        <v>788</v>
      </c>
      <c r="G824" s="0" t="n">
        <v>1222817</v>
      </c>
      <c r="H824" s="0" t="n">
        <v>42089</v>
      </c>
      <c r="I824" s="0" t="n">
        <v>11128</v>
      </c>
      <c r="J824" s="0" t="n">
        <v>41.5</v>
      </c>
      <c r="K824" s="0" t="n">
        <v>11</v>
      </c>
      <c r="L824" s="0" t="n">
        <v>203</v>
      </c>
      <c r="M824" s="0" t="s">
        <v>35</v>
      </c>
      <c r="N824" s="0" t="s">
        <v>55</v>
      </c>
    </row>
    <row r="825" customFormat="false" ht="15" hidden="false" customHeight="false" outlineLevel="0" collapsed="false">
      <c r="A825" s="0" t="s">
        <v>1696</v>
      </c>
      <c r="B825" s="0" t="s">
        <v>640</v>
      </c>
      <c r="C825" s="0" t="s">
        <v>899</v>
      </c>
      <c r="D825" s="0" t="s">
        <v>17</v>
      </c>
      <c r="E825" s="0" t="s">
        <v>544</v>
      </c>
      <c r="F825" s="0" t="s">
        <v>154</v>
      </c>
      <c r="G825" s="0" t="n">
        <v>1647024</v>
      </c>
      <c r="H825" s="0" t="n">
        <v>41346</v>
      </c>
      <c r="I825" s="0" t="n">
        <v>16209</v>
      </c>
      <c r="J825" s="0" t="n">
        <v>19.1</v>
      </c>
      <c r="K825" s="0" t="n">
        <v>23</v>
      </c>
      <c r="L825" s="0" t="n">
        <v>212</v>
      </c>
      <c r="M825" s="0" t="s">
        <v>35</v>
      </c>
      <c r="N825" s="0" t="s">
        <v>55</v>
      </c>
    </row>
    <row r="826" customFormat="false" ht="15" hidden="false" customHeight="false" outlineLevel="0" collapsed="false">
      <c r="A826" s="0" t="s">
        <v>1697</v>
      </c>
      <c r="B826" s="0" t="s">
        <v>57</v>
      </c>
      <c r="C826" s="0" t="s">
        <v>958</v>
      </c>
      <c r="D826" s="0" t="s">
        <v>59</v>
      </c>
      <c r="E826" s="0" t="s">
        <v>299</v>
      </c>
      <c r="F826" s="0" t="s">
        <v>788</v>
      </c>
      <c r="G826" s="0" t="n">
        <v>2814200</v>
      </c>
      <c r="H826" s="0" t="n">
        <v>102114</v>
      </c>
      <c r="I826" s="0" t="n">
        <v>36952</v>
      </c>
      <c r="J826" s="0" t="n">
        <v>29.3</v>
      </c>
      <c r="K826" s="0" t="n">
        <v>6</v>
      </c>
      <c r="L826" s="0" t="n">
        <v>793</v>
      </c>
      <c r="M826" s="0" t="s">
        <v>35</v>
      </c>
      <c r="N826" s="0" t="s">
        <v>81</v>
      </c>
    </row>
    <row r="827" customFormat="false" ht="15" hidden="false" customHeight="false" outlineLevel="0" collapsed="false">
      <c r="A827" s="0" t="s">
        <v>1698</v>
      </c>
      <c r="B827" s="0" t="s">
        <v>37</v>
      </c>
      <c r="C827" s="0" t="s">
        <v>324</v>
      </c>
      <c r="D827" s="0" t="s">
        <v>39</v>
      </c>
      <c r="E827" s="0" t="s">
        <v>229</v>
      </c>
      <c r="F827" s="0" t="s">
        <v>159</v>
      </c>
      <c r="G827" s="0" t="n">
        <v>2353833</v>
      </c>
      <c r="H827" s="0" t="n">
        <v>70329</v>
      </c>
      <c r="I827" s="0" t="n">
        <v>25332</v>
      </c>
      <c r="J827" s="0" t="n">
        <v>21.1</v>
      </c>
      <c r="K827" s="0" t="n">
        <v>10</v>
      </c>
      <c r="L827" s="0" t="n">
        <v>288</v>
      </c>
      <c r="M827" s="0" t="s">
        <v>20</v>
      </c>
      <c r="N827" s="0" t="s">
        <v>21</v>
      </c>
    </row>
    <row r="828" customFormat="false" ht="15" hidden="false" customHeight="false" outlineLevel="0" collapsed="false">
      <c r="A828" s="0" t="s">
        <v>1699</v>
      </c>
      <c r="B828" s="0" t="s">
        <v>439</v>
      </c>
      <c r="C828" s="0" t="s">
        <v>1220</v>
      </c>
      <c r="D828" s="0" t="s">
        <v>144</v>
      </c>
      <c r="E828" s="0" t="s">
        <v>265</v>
      </c>
      <c r="F828" s="0" t="s">
        <v>266</v>
      </c>
      <c r="G828" s="0" t="n">
        <v>2442177</v>
      </c>
      <c r="H828" s="0" t="n">
        <v>62911</v>
      </c>
      <c r="I828" s="0" t="n">
        <v>23143</v>
      </c>
      <c r="J828" s="0" t="n">
        <v>48.3</v>
      </c>
      <c r="K828" s="0" t="n">
        <v>13</v>
      </c>
      <c r="L828" s="0" t="n">
        <v>771</v>
      </c>
      <c r="M828" s="0" t="s">
        <v>35</v>
      </c>
      <c r="N828" s="0" t="s">
        <v>96</v>
      </c>
    </row>
    <row r="829" customFormat="false" ht="15" hidden="false" customHeight="false" outlineLevel="0" collapsed="false">
      <c r="A829" s="0" t="s">
        <v>1700</v>
      </c>
      <c r="B829" s="0" t="s">
        <v>1016</v>
      </c>
      <c r="C829" s="0" t="s">
        <v>483</v>
      </c>
      <c r="D829" s="0" t="s">
        <v>78</v>
      </c>
      <c r="E829" s="0" t="s">
        <v>130</v>
      </c>
      <c r="F829" s="0" t="s">
        <v>213</v>
      </c>
      <c r="G829" s="0" t="n">
        <v>2988795</v>
      </c>
      <c r="H829" s="0" t="n">
        <v>94153</v>
      </c>
      <c r="I829" s="0" t="n">
        <v>25069</v>
      </c>
      <c r="J829" s="0" t="n">
        <v>5.8</v>
      </c>
      <c r="K829" s="0" t="n">
        <v>12</v>
      </c>
      <c r="L829" s="0" t="n">
        <v>254</v>
      </c>
      <c r="M829" s="0" t="s">
        <v>20</v>
      </c>
      <c r="N829" s="0" t="s">
        <v>102</v>
      </c>
    </row>
    <row r="830" customFormat="false" ht="15" hidden="false" customHeight="false" outlineLevel="0" collapsed="false">
      <c r="A830" s="0" t="s">
        <v>1701</v>
      </c>
      <c r="B830" s="0" t="s">
        <v>1702</v>
      </c>
      <c r="C830" s="0" t="s">
        <v>24</v>
      </c>
      <c r="D830" s="0" t="s">
        <v>32</v>
      </c>
      <c r="E830" s="0" t="s">
        <v>72</v>
      </c>
      <c r="F830" s="0" t="s">
        <v>310</v>
      </c>
      <c r="G830" s="0" t="n">
        <v>4027794</v>
      </c>
      <c r="H830" s="0" t="n">
        <v>176919</v>
      </c>
      <c r="I830" s="0" t="n">
        <v>45387</v>
      </c>
      <c r="J830" s="0" t="n">
        <v>37.5</v>
      </c>
      <c r="K830" s="0" t="n">
        <v>5</v>
      </c>
      <c r="L830" s="0" t="n">
        <v>624</v>
      </c>
      <c r="M830" s="0" t="s">
        <v>20</v>
      </c>
      <c r="N830" s="0" t="s">
        <v>74</v>
      </c>
    </row>
    <row r="831" customFormat="false" ht="15" hidden="false" customHeight="false" outlineLevel="0" collapsed="false">
      <c r="A831" s="0" t="s">
        <v>1703</v>
      </c>
      <c r="B831" s="0" t="s">
        <v>582</v>
      </c>
      <c r="C831" s="0" t="s">
        <v>815</v>
      </c>
      <c r="D831" s="0" t="s">
        <v>25</v>
      </c>
      <c r="E831" s="0" t="s">
        <v>79</v>
      </c>
      <c r="F831" s="0" t="s">
        <v>209</v>
      </c>
      <c r="G831" s="0" t="n">
        <v>1745902</v>
      </c>
      <c r="H831" s="0" t="n">
        <v>50830</v>
      </c>
      <c r="I831" s="0" t="n">
        <v>18422</v>
      </c>
      <c r="J831" s="0" t="n">
        <v>55.1</v>
      </c>
      <c r="K831" s="0" t="n">
        <v>24</v>
      </c>
      <c r="L831" s="0" t="n">
        <v>530</v>
      </c>
      <c r="M831" s="0" t="s">
        <v>20</v>
      </c>
      <c r="N831" s="0" t="s">
        <v>28</v>
      </c>
    </row>
    <row r="832" customFormat="false" ht="15" hidden="false" customHeight="false" outlineLevel="0" collapsed="false">
      <c r="A832" s="0" t="s">
        <v>1704</v>
      </c>
      <c r="B832" s="0" t="s">
        <v>1705</v>
      </c>
      <c r="C832" s="0" t="s">
        <v>51</v>
      </c>
      <c r="D832" s="0" t="s">
        <v>59</v>
      </c>
      <c r="E832" s="0" t="s">
        <v>253</v>
      </c>
      <c r="F832" s="0" t="s">
        <v>205</v>
      </c>
      <c r="G832" s="0" t="n">
        <v>3530304</v>
      </c>
      <c r="H832" s="0" t="n">
        <v>180245</v>
      </c>
      <c r="I832" s="0" t="n">
        <v>50908</v>
      </c>
      <c r="J832" s="0" t="n">
        <v>39.3</v>
      </c>
      <c r="K832" s="0" t="n">
        <v>14</v>
      </c>
      <c r="L832" s="0" t="n">
        <v>349</v>
      </c>
      <c r="M832" s="0" t="s">
        <v>20</v>
      </c>
      <c r="N832" s="0" t="s">
        <v>74</v>
      </c>
    </row>
    <row r="833" customFormat="false" ht="15" hidden="false" customHeight="false" outlineLevel="0" collapsed="false">
      <c r="A833" s="0" t="s">
        <v>1706</v>
      </c>
      <c r="B833" s="0" t="s">
        <v>522</v>
      </c>
      <c r="C833" s="0" t="s">
        <v>1207</v>
      </c>
      <c r="D833" s="0" t="s">
        <v>32</v>
      </c>
      <c r="E833" s="0" t="s">
        <v>544</v>
      </c>
      <c r="F833" s="0" t="s">
        <v>181</v>
      </c>
      <c r="G833" s="0" t="n">
        <v>3940876</v>
      </c>
      <c r="H833" s="0" t="n">
        <v>120657</v>
      </c>
      <c r="I833" s="0" t="n">
        <v>31501</v>
      </c>
      <c r="J833" s="0" t="n">
        <v>8.9</v>
      </c>
      <c r="K833" s="0" t="n">
        <v>15</v>
      </c>
      <c r="L833" s="0" t="n">
        <v>335</v>
      </c>
      <c r="M833" s="0" t="s">
        <v>20</v>
      </c>
      <c r="N833" s="0" t="s">
        <v>55</v>
      </c>
    </row>
    <row r="834" customFormat="false" ht="15" hidden="false" customHeight="false" outlineLevel="0" collapsed="false">
      <c r="A834" s="0" t="s">
        <v>1707</v>
      </c>
      <c r="B834" s="0" t="s">
        <v>1276</v>
      </c>
      <c r="C834" s="0" t="s">
        <v>500</v>
      </c>
      <c r="D834" s="0" t="s">
        <v>59</v>
      </c>
      <c r="E834" s="0" t="s">
        <v>380</v>
      </c>
      <c r="F834" s="0" t="s">
        <v>340</v>
      </c>
      <c r="G834" s="0" t="n">
        <v>3091636</v>
      </c>
      <c r="H834" s="0" t="n">
        <v>148565</v>
      </c>
      <c r="I834" s="0" t="n">
        <v>43403</v>
      </c>
      <c r="J834" s="0" t="n">
        <v>38.9</v>
      </c>
      <c r="K834" s="0" t="n">
        <v>19</v>
      </c>
      <c r="L834" s="0" t="n">
        <v>172</v>
      </c>
      <c r="M834" s="0" t="s">
        <v>35</v>
      </c>
      <c r="N834" s="0" t="s">
        <v>96</v>
      </c>
    </row>
    <row r="835" customFormat="false" ht="15" hidden="false" customHeight="false" outlineLevel="0" collapsed="false">
      <c r="A835" s="0" t="s">
        <v>1708</v>
      </c>
      <c r="B835" s="0" t="s">
        <v>737</v>
      </c>
      <c r="C835" s="0" t="s">
        <v>70</v>
      </c>
      <c r="D835" s="0" t="s">
        <v>32</v>
      </c>
      <c r="E835" s="0" t="s">
        <v>675</v>
      </c>
      <c r="F835" s="0" t="s">
        <v>154</v>
      </c>
      <c r="G835" s="0" t="n">
        <v>4180064</v>
      </c>
      <c r="H835" s="0" t="n">
        <v>196936</v>
      </c>
      <c r="I835" s="0" t="n">
        <v>40950</v>
      </c>
      <c r="J835" s="0" t="n">
        <v>19.5</v>
      </c>
      <c r="K835" s="0" t="n">
        <v>13</v>
      </c>
      <c r="L835" s="0" t="n">
        <v>178</v>
      </c>
      <c r="M835" s="0" t="s">
        <v>35</v>
      </c>
      <c r="N835" s="0" t="s">
        <v>67</v>
      </c>
    </row>
    <row r="836" customFormat="false" ht="15" hidden="false" customHeight="false" outlineLevel="0" collapsed="false">
      <c r="A836" s="0" t="s">
        <v>1709</v>
      </c>
      <c r="B836" s="0" t="s">
        <v>931</v>
      </c>
      <c r="C836" s="0" t="s">
        <v>630</v>
      </c>
      <c r="D836" s="0" t="s">
        <v>144</v>
      </c>
      <c r="E836" s="0" t="s">
        <v>457</v>
      </c>
      <c r="F836" s="0" t="s">
        <v>121</v>
      </c>
      <c r="G836" s="0" t="n">
        <v>1513724</v>
      </c>
      <c r="H836" s="0" t="n">
        <v>37462</v>
      </c>
      <c r="I836" s="0" t="n">
        <v>10140</v>
      </c>
      <c r="J836" s="0" t="n">
        <v>19.6</v>
      </c>
      <c r="K836" s="0" t="n">
        <v>12</v>
      </c>
      <c r="L836" s="0" t="n">
        <v>679</v>
      </c>
      <c r="M836" s="0" t="s">
        <v>20</v>
      </c>
      <c r="N836" s="0" t="s">
        <v>140</v>
      </c>
    </row>
    <row r="837" customFormat="false" ht="15" hidden="false" customHeight="false" outlineLevel="0" collapsed="false">
      <c r="A837" s="0" t="s">
        <v>1710</v>
      </c>
      <c r="B837" s="0" t="s">
        <v>191</v>
      </c>
      <c r="C837" s="0" t="s">
        <v>208</v>
      </c>
      <c r="D837" s="0" t="s">
        <v>39</v>
      </c>
      <c r="E837" s="0" t="s">
        <v>472</v>
      </c>
      <c r="F837" s="0" t="s">
        <v>95</v>
      </c>
      <c r="G837" s="0" t="n">
        <v>1533894</v>
      </c>
      <c r="H837" s="0" t="n">
        <v>56564</v>
      </c>
      <c r="I837" s="0" t="n">
        <v>20320</v>
      </c>
      <c r="J837" s="0" t="n">
        <v>26.6</v>
      </c>
      <c r="K837" s="0" t="n">
        <v>14</v>
      </c>
      <c r="L837" s="0" t="n">
        <v>618</v>
      </c>
      <c r="M837" s="0" t="s">
        <v>20</v>
      </c>
      <c r="N837" s="0" t="s">
        <v>81</v>
      </c>
    </row>
    <row r="838" customFormat="false" ht="15" hidden="false" customHeight="false" outlineLevel="0" collapsed="false">
      <c r="A838" s="0" t="s">
        <v>1711</v>
      </c>
      <c r="B838" s="0" t="s">
        <v>1254</v>
      </c>
      <c r="C838" s="0" t="s">
        <v>745</v>
      </c>
      <c r="D838" s="0" t="s">
        <v>144</v>
      </c>
      <c r="E838" s="0" t="s">
        <v>52</v>
      </c>
      <c r="F838" s="0" t="s">
        <v>770</v>
      </c>
      <c r="G838" s="0" t="n">
        <v>1257216</v>
      </c>
      <c r="H838" s="0" t="n">
        <v>31869</v>
      </c>
      <c r="I838" s="0" t="n">
        <v>12011</v>
      </c>
      <c r="J838" s="0" t="n">
        <v>58.6</v>
      </c>
      <c r="K838" s="0" t="n">
        <v>9</v>
      </c>
      <c r="L838" s="0" t="n">
        <v>696</v>
      </c>
      <c r="M838" s="0" t="s">
        <v>35</v>
      </c>
      <c r="N838" s="0" t="s">
        <v>122</v>
      </c>
    </row>
    <row r="839" customFormat="false" ht="15" hidden="false" customHeight="false" outlineLevel="0" collapsed="false">
      <c r="A839" s="0" t="s">
        <v>1712</v>
      </c>
      <c r="B839" s="0" t="s">
        <v>113</v>
      </c>
      <c r="C839" s="0" t="s">
        <v>70</v>
      </c>
      <c r="D839" s="0" t="s">
        <v>46</v>
      </c>
      <c r="E839" s="0" t="s">
        <v>125</v>
      </c>
      <c r="F839" s="0" t="s">
        <v>130</v>
      </c>
      <c r="G839" s="0" t="n">
        <v>1375772</v>
      </c>
      <c r="H839" s="0" t="n">
        <v>32087</v>
      </c>
      <c r="I839" s="0" t="n">
        <v>9366</v>
      </c>
      <c r="J839" s="0" t="n">
        <v>21.9</v>
      </c>
      <c r="K839" s="0" t="n">
        <v>9</v>
      </c>
      <c r="L839" s="0" t="n">
        <v>227</v>
      </c>
      <c r="M839" s="0" t="s">
        <v>20</v>
      </c>
      <c r="N839" s="0" t="s">
        <v>140</v>
      </c>
    </row>
    <row r="840" customFormat="false" ht="15" hidden="false" customHeight="false" outlineLevel="0" collapsed="false">
      <c r="A840" s="0" t="s">
        <v>1713</v>
      </c>
      <c r="B840" s="0" t="s">
        <v>349</v>
      </c>
      <c r="C840" s="0" t="s">
        <v>597</v>
      </c>
      <c r="D840" s="0" t="s">
        <v>89</v>
      </c>
      <c r="E840" s="0" t="s">
        <v>94</v>
      </c>
      <c r="F840" s="0" t="s">
        <v>40</v>
      </c>
      <c r="G840" s="0" t="n">
        <v>1335356</v>
      </c>
      <c r="H840" s="0" t="n">
        <v>44767</v>
      </c>
      <c r="I840" s="0" t="n">
        <v>11528</v>
      </c>
      <c r="J840" s="0" t="n">
        <v>40.7</v>
      </c>
      <c r="K840" s="0" t="n">
        <v>10</v>
      </c>
      <c r="L840" s="0" t="n">
        <v>750</v>
      </c>
      <c r="M840" s="0" t="s">
        <v>35</v>
      </c>
      <c r="N840" s="0" t="s">
        <v>102</v>
      </c>
    </row>
    <row r="841" customFormat="false" ht="15" hidden="false" customHeight="false" outlineLevel="0" collapsed="false">
      <c r="A841" s="0" t="s">
        <v>1714</v>
      </c>
      <c r="B841" s="0" t="s">
        <v>1570</v>
      </c>
      <c r="C841" s="0" t="s">
        <v>561</v>
      </c>
      <c r="D841" s="0" t="s">
        <v>65</v>
      </c>
      <c r="E841" s="0" t="s">
        <v>213</v>
      </c>
      <c r="F841" s="0" t="s">
        <v>149</v>
      </c>
      <c r="G841" s="0" t="n">
        <v>1177931</v>
      </c>
      <c r="H841" s="0" t="n">
        <v>39682</v>
      </c>
      <c r="I841" s="0" t="n">
        <v>13369</v>
      </c>
      <c r="J841" s="0" t="n">
        <v>54.1</v>
      </c>
      <c r="K841" s="0" t="n">
        <v>20</v>
      </c>
      <c r="L841" s="0" t="n">
        <v>775</v>
      </c>
      <c r="M841" s="0" t="s">
        <v>20</v>
      </c>
      <c r="N841" s="0" t="s">
        <v>42</v>
      </c>
    </row>
    <row r="842" customFormat="false" ht="15" hidden="false" customHeight="false" outlineLevel="0" collapsed="false">
      <c r="A842" s="0" t="s">
        <v>1715</v>
      </c>
      <c r="B842" s="0" t="s">
        <v>459</v>
      </c>
      <c r="C842" s="0" t="s">
        <v>1681</v>
      </c>
      <c r="D842" s="0" t="s">
        <v>59</v>
      </c>
      <c r="E842" s="0" t="s">
        <v>314</v>
      </c>
      <c r="F842" s="0" t="s">
        <v>116</v>
      </c>
      <c r="G842" s="0" t="n">
        <v>2225375</v>
      </c>
      <c r="H842" s="0" t="n">
        <v>128880</v>
      </c>
      <c r="I842" s="0" t="n">
        <v>25589</v>
      </c>
      <c r="J842" s="0" t="n">
        <v>5.9</v>
      </c>
      <c r="K842" s="0" t="n">
        <v>17</v>
      </c>
      <c r="L842" s="0" t="n">
        <v>281</v>
      </c>
      <c r="M842" s="0" t="s">
        <v>54</v>
      </c>
      <c r="N842" s="0" t="s">
        <v>28</v>
      </c>
    </row>
    <row r="843" customFormat="false" ht="15" hidden="false" customHeight="false" outlineLevel="0" collapsed="false">
      <c r="A843" s="0" t="s">
        <v>1716</v>
      </c>
      <c r="B843" s="0" t="s">
        <v>1717</v>
      </c>
      <c r="C843" s="0" t="s">
        <v>986</v>
      </c>
      <c r="D843" s="0" t="s">
        <v>89</v>
      </c>
      <c r="E843" s="0" t="s">
        <v>168</v>
      </c>
      <c r="F843" s="0" t="s">
        <v>273</v>
      </c>
      <c r="G843" s="0" t="n">
        <v>1327035</v>
      </c>
      <c r="H843" s="0" t="n">
        <v>31771</v>
      </c>
      <c r="I843" s="0" t="n">
        <v>10539</v>
      </c>
      <c r="J843" s="0" t="n">
        <v>17.1</v>
      </c>
      <c r="K843" s="0" t="n">
        <v>24</v>
      </c>
      <c r="L843" s="0" t="n">
        <v>789</v>
      </c>
      <c r="M843" s="0" t="s">
        <v>20</v>
      </c>
      <c r="N843" s="0" t="s">
        <v>21</v>
      </c>
    </row>
    <row r="844" customFormat="false" ht="15" hidden="false" customHeight="false" outlineLevel="0" collapsed="false">
      <c r="A844" s="0" t="s">
        <v>1718</v>
      </c>
      <c r="B844" s="0" t="s">
        <v>1719</v>
      </c>
      <c r="C844" s="0" t="s">
        <v>362</v>
      </c>
      <c r="D844" s="0" t="s">
        <v>59</v>
      </c>
      <c r="E844" s="0" t="s">
        <v>204</v>
      </c>
      <c r="F844" s="0" t="s">
        <v>679</v>
      </c>
      <c r="G844" s="0" t="n">
        <v>1812169</v>
      </c>
      <c r="H844" s="0" t="n">
        <v>83758</v>
      </c>
      <c r="I844" s="0" t="n">
        <v>28137</v>
      </c>
      <c r="J844" s="0" t="n">
        <v>36.9</v>
      </c>
      <c r="K844" s="0" t="n">
        <v>6</v>
      </c>
      <c r="L844" s="0" t="n">
        <v>280</v>
      </c>
      <c r="M844" s="0" t="s">
        <v>20</v>
      </c>
      <c r="N844" s="0" t="s">
        <v>81</v>
      </c>
    </row>
    <row r="845" customFormat="false" ht="15" hidden="false" customHeight="false" outlineLevel="0" collapsed="false">
      <c r="A845" s="0" t="s">
        <v>1720</v>
      </c>
      <c r="B845" s="0" t="s">
        <v>823</v>
      </c>
      <c r="C845" s="0" t="s">
        <v>795</v>
      </c>
      <c r="D845" s="0" t="s">
        <v>39</v>
      </c>
      <c r="E845" s="0" t="s">
        <v>66</v>
      </c>
      <c r="F845" s="0" t="s">
        <v>495</v>
      </c>
      <c r="G845" s="0" t="n">
        <v>2690709</v>
      </c>
      <c r="H845" s="0" t="n">
        <v>101893</v>
      </c>
      <c r="I845" s="0" t="n">
        <v>25612</v>
      </c>
      <c r="J845" s="0" t="n">
        <v>15.6</v>
      </c>
      <c r="K845" s="0" t="n">
        <v>12</v>
      </c>
      <c r="L845" s="0" t="n">
        <v>366</v>
      </c>
      <c r="M845" s="0" t="s">
        <v>20</v>
      </c>
      <c r="N845" s="0" t="s">
        <v>67</v>
      </c>
    </row>
    <row r="846" customFormat="false" ht="15" hidden="false" customHeight="false" outlineLevel="0" collapsed="false">
      <c r="A846" s="0" t="s">
        <v>1721</v>
      </c>
      <c r="B846" s="0" t="s">
        <v>474</v>
      </c>
      <c r="C846" s="0" t="s">
        <v>175</v>
      </c>
      <c r="D846" s="0" t="s">
        <v>25</v>
      </c>
      <c r="E846" s="0" t="s">
        <v>539</v>
      </c>
      <c r="F846" s="0" t="s">
        <v>440</v>
      </c>
      <c r="G846" s="0" t="n">
        <v>3325271</v>
      </c>
      <c r="H846" s="0" t="n">
        <v>108070</v>
      </c>
      <c r="I846" s="0" t="n">
        <v>37103</v>
      </c>
      <c r="J846" s="0" t="n">
        <v>11.4</v>
      </c>
      <c r="K846" s="0" t="n">
        <v>11</v>
      </c>
      <c r="L846" s="0" t="n">
        <v>345</v>
      </c>
      <c r="M846" s="0" t="s">
        <v>20</v>
      </c>
      <c r="N846" s="0" t="s">
        <v>140</v>
      </c>
    </row>
    <row r="847" customFormat="false" ht="15" hidden="false" customHeight="false" outlineLevel="0" collapsed="false">
      <c r="A847" s="0" t="s">
        <v>1722</v>
      </c>
      <c r="B847" s="0" t="s">
        <v>395</v>
      </c>
      <c r="C847" s="0" t="s">
        <v>689</v>
      </c>
      <c r="D847" s="0" t="s">
        <v>46</v>
      </c>
      <c r="E847" s="0" t="s">
        <v>321</v>
      </c>
      <c r="F847" s="0" t="s">
        <v>100</v>
      </c>
      <c r="G847" s="0" t="n">
        <v>1484792</v>
      </c>
      <c r="H847" s="0" t="n">
        <v>48934</v>
      </c>
      <c r="I847" s="0" t="n">
        <v>14996</v>
      </c>
      <c r="J847" s="0" t="n">
        <v>34</v>
      </c>
      <c r="K847" s="0" t="n">
        <v>19</v>
      </c>
      <c r="L847" s="0" t="n">
        <v>313</v>
      </c>
      <c r="M847" s="0" t="s">
        <v>54</v>
      </c>
      <c r="N847" s="0" t="s">
        <v>102</v>
      </c>
    </row>
    <row r="848" customFormat="false" ht="15" hidden="false" customHeight="false" outlineLevel="0" collapsed="false">
      <c r="A848" s="0" t="s">
        <v>1723</v>
      </c>
      <c r="B848" s="0" t="s">
        <v>1005</v>
      </c>
      <c r="C848" s="0" t="s">
        <v>152</v>
      </c>
      <c r="D848" s="0" t="s">
        <v>25</v>
      </c>
      <c r="E848" s="0" t="s">
        <v>788</v>
      </c>
      <c r="F848" s="0" t="s">
        <v>186</v>
      </c>
      <c r="G848" s="0" t="n">
        <v>2292008</v>
      </c>
      <c r="H848" s="0" t="n">
        <v>75165</v>
      </c>
      <c r="I848" s="0" t="n">
        <v>21904</v>
      </c>
      <c r="J848" s="0" t="n">
        <v>52.7</v>
      </c>
      <c r="K848" s="0" t="n">
        <v>23</v>
      </c>
      <c r="L848" s="0" t="n">
        <v>241</v>
      </c>
      <c r="M848" s="0" t="s">
        <v>54</v>
      </c>
      <c r="N848" s="0" t="s">
        <v>21</v>
      </c>
    </row>
    <row r="849" customFormat="false" ht="15" hidden="false" customHeight="false" outlineLevel="0" collapsed="false">
      <c r="A849" s="0" t="s">
        <v>1724</v>
      </c>
      <c r="B849" s="0" t="s">
        <v>1725</v>
      </c>
      <c r="C849" s="0" t="s">
        <v>167</v>
      </c>
      <c r="D849" s="0" t="s">
        <v>59</v>
      </c>
      <c r="E849" s="0" t="s">
        <v>270</v>
      </c>
      <c r="F849" s="0" t="s">
        <v>40</v>
      </c>
      <c r="G849" s="0" t="n">
        <v>3863747</v>
      </c>
      <c r="H849" s="0" t="n">
        <v>207547</v>
      </c>
      <c r="I849" s="0" t="n">
        <v>46785</v>
      </c>
      <c r="J849" s="0" t="n">
        <v>52.2</v>
      </c>
      <c r="K849" s="0" t="n">
        <v>9</v>
      </c>
      <c r="L849" s="0" t="n">
        <v>205</v>
      </c>
      <c r="M849" s="0" t="s">
        <v>54</v>
      </c>
      <c r="N849" s="0" t="s">
        <v>55</v>
      </c>
    </row>
    <row r="850" customFormat="false" ht="15" hidden="false" customHeight="false" outlineLevel="0" collapsed="false">
      <c r="A850" s="0" t="s">
        <v>1726</v>
      </c>
      <c r="B850" s="0" t="s">
        <v>1727</v>
      </c>
      <c r="C850" s="0" t="s">
        <v>371</v>
      </c>
      <c r="D850" s="0" t="s">
        <v>144</v>
      </c>
      <c r="E850" s="0" t="s">
        <v>574</v>
      </c>
      <c r="F850" s="0" t="s">
        <v>487</v>
      </c>
      <c r="G850" s="0" t="n">
        <v>1944150</v>
      </c>
      <c r="H850" s="0" t="n">
        <v>44947</v>
      </c>
      <c r="I850" s="0" t="n">
        <v>11806</v>
      </c>
      <c r="J850" s="0" t="n">
        <v>15.9</v>
      </c>
      <c r="K850" s="0" t="n">
        <v>23</v>
      </c>
      <c r="L850" s="0" t="n">
        <v>611</v>
      </c>
      <c r="M850" s="0" t="s">
        <v>35</v>
      </c>
      <c r="N850" s="0" t="s">
        <v>140</v>
      </c>
    </row>
    <row r="851" customFormat="false" ht="15" hidden="false" customHeight="false" outlineLevel="0" collapsed="false">
      <c r="A851" s="0" t="s">
        <v>1728</v>
      </c>
      <c r="B851" s="0" t="s">
        <v>1729</v>
      </c>
      <c r="C851" s="0" t="s">
        <v>529</v>
      </c>
      <c r="D851" s="0" t="s">
        <v>25</v>
      </c>
      <c r="E851" s="0" t="s">
        <v>213</v>
      </c>
      <c r="F851" s="0" t="s">
        <v>756</v>
      </c>
      <c r="G851" s="0" t="n">
        <v>4305954</v>
      </c>
      <c r="H851" s="0" t="n">
        <v>139642</v>
      </c>
      <c r="I851" s="0" t="n">
        <v>28761</v>
      </c>
      <c r="J851" s="0" t="n">
        <v>41.6</v>
      </c>
      <c r="K851" s="0" t="n">
        <v>21</v>
      </c>
      <c r="L851" s="0" t="n">
        <v>344</v>
      </c>
      <c r="M851" s="0" t="s">
        <v>20</v>
      </c>
      <c r="N851" s="0" t="s">
        <v>67</v>
      </c>
    </row>
    <row r="852" customFormat="false" ht="15" hidden="false" customHeight="false" outlineLevel="0" collapsed="false">
      <c r="A852" s="0" t="s">
        <v>1730</v>
      </c>
      <c r="B852" s="0" t="s">
        <v>1731</v>
      </c>
      <c r="C852" s="0" t="s">
        <v>717</v>
      </c>
      <c r="D852" s="0" t="s">
        <v>39</v>
      </c>
      <c r="E852" s="0" t="s">
        <v>111</v>
      </c>
      <c r="F852" s="0" t="s">
        <v>357</v>
      </c>
      <c r="G852" s="0" t="n">
        <v>2025156</v>
      </c>
      <c r="H852" s="0" t="n">
        <v>77310</v>
      </c>
      <c r="I852" s="0" t="n">
        <v>20590</v>
      </c>
      <c r="J852" s="0" t="n">
        <v>29</v>
      </c>
      <c r="K852" s="0" t="n">
        <v>22</v>
      </c>
      <c r="L852" s="0" t="n">
        <v>552</v>
      </c>
      <c r="M852" s="0" t="s">
        <v>54</v>
      </c>
      <c r="N852" s="0" t="s">
        <v>122</v>
      </c>
    </row>
    <row r="853" customFormat="false" ht="15" hidden="false" customHeight="false" outlineLevel="0" collapsed="false">
      <c r="A853" s="0" t="s">
        <v>1732</v>
      </c>
      <c r="B853" s="0" t="s">
        <v>1733</v>
      </c>
      <c r="C853" s="0" t="s">
        <v>152</v>
      </c>
      <c r="D853" s="0" t="s">
        <v>65</v>
      </c>
      <c r="E853" s="0" t="s">
        <v>181</v>
      </c>
      <c r="F853" s="0" t="s">
        <v>154</v>
      </c>
      <c r="G853" s="0" t="n">
        <v>2112375</v>
      </c>
      <c r="H853" s="0" t="n">
        <v>54913</v>
      </c>
      <c r="I853" s="0" t="n">
        <v>20993</v>
      </c>
      <c r="J853" s="0" t="n">
        <v>30.8</v>
      </c>
      <c r="K853" s="0" t="n">
        <v>25</v>
      </c>
      <c r="L853" s="0" t="n">
        <v>474</v>
      </c>
      <c r="M853" s="0" t="s">
        <v>20</v>
      </c>
      <c r="N853" s="0" t="s">
        <v>96</v>
      </c>
    </row>
    <row r="854" customFormat="false" ht="15" hidden="false" customHeight="false" outlineLevel="0" collapsed="false">
      <c r="A854" s="0" t="s">
        <v>1734</v>
      </c>
      <c r="B854" s="0" t="s">
        <v>499</v>
      </c>
      <c r="C854" s="0" t="s">
        <v>812</v>
      </c>
      <c r="D854" s="0" t="s">
        <v>144</v>
      </c>
      <c r="E854" s="0" t="s">
        <v>94</v>
      </c>
      <c r="F854" s="0" t="s">
        <v>618</v>
      </c>
      <c r="G854" s="0" t="n">
        <v>2255630</v>
      </c>
      <c r="H854" s="0" t="n">
        <v>60404</v>
      </c>
      <c r="I854" s="0" t="n">
        <v>13710</v>
      </c>
      <c r="J854" s="0" t="n">
        <v>48.7</v>
      </c>
      <c r="K854" s="0" t="n">
        <v>17</v>
      </c>
      <c r="L854" s="0" t="n">
        <v>237</v>
      </c>
      <c r="M854" s="0" t="s">
        <v>54</v>
      </c>
      <c r="N854" s="0" t="s">
        <v>81</v>
      </c>
    </row>
    <row r="855" customFormat="false" ht="15" hidden="false" customHeight="false" outlineLevel="0" collapsed="false">
      <c r="A855" s="0" t="s">
        <v>1735</v>
      </c>
      <c r="B855" s="0" t="s">
        <v>1736</v>
      </c>
      <c r="C855" s="0" t="s">
        <v>1166</v>
      </c>
      <c r="D855" s="0" t="s">
        <v>25</v>
      </c>
      <c r="E855" s="0" t="s">
        <v>209</v>
      </c>
      <c r="F855" s="0" t="s">
        <v>120</v>
      </c>
      <c r="G855" s="0" t="n">
        <v>4626345</v>
      </c>
      <c r="H855" s="0" t="n">
        <v>136379</v>
      </c>
      <c r="I855" s="0" t="n">
        <v>44046</v>
      </c>
      <c r="J855" s="0" t="n">
        <v>50.4</v>
      </c>
      <c r="K855" s="0" t="n">
        <v>11</v>
      </c>
      <c r="L855" s="0" t="n">
        <v>580</v>
      </c>
      <c r="M855" s="0" t="s">
        <v>20</v>
      </c>
      <c r="N855" s="0" t="s">
        <v>96</v>
      </c>
    </row>
    <row r="856" customFormat="false" ht="15" hidden="false" customHeight="false" outlineLevel="0" collapsed="false">
      <c r="A856" s="0" t="s">
        <v>1737</v>
      </c>
      <c r="B856" s="0" t="s">
        <v>1689</v>
      </c>
      <c r="C856" s="0" t="s">
        <v>1220</v>
      </c>
      <c r="D856" s="0" t="s">
        <v>17</v>
      </c>
      <c r="E856" s="0" t="s">
        <v>237</v>
      </c>
      <c r="F856" s="0" t="s">
        <v>407</v>
      </c>
      <c r="G856" s="0" t="n">
        <v>1846734</v>
      </c>
      <c r="H856" s="0" t="n">
        <v>47842</v>
      </c>
      <c r="I856" s="0" t="n">
        <v>12772</v>
      </c>
      <c r="J856" s="0" t="n">
        <v>53.7</v>
      </c>
      <c r="K856" s="0" t="n">
        <v>16</v>
      </c>
      <c r="L856" s="0" t="n">
        <v>358</v>
      </c>
      <c r="M856" s="0" t="s">
        <v>54</v>
      </c>
      <c r="N856" s="0" t="s">
        <v>28</v>
      </c>
    </row>
    <row r="857" customFormat="false" ht="15" hidden="false" customHeight="false" outlineLevel="0" collapsed="false">
      <c r="A857" s="0" t="s">
        <v>1738</v>
      </c>
      <c r="B857" s="0" t="s">
        <v>1371</v>
      </c>
      <c r="C857" s="0" t="s">
        <v>1739</v>
      </c>
      <c r="D857" s="0" t="s">
        <v>65</v>
      </c>
      <c r="E857" s="0" t="s">
        <v>379</v>
      </c>
      <c r="F857" s="0" t="s">
        <v>48</v>
      </c>
      <c r="G857" s="0" t="n">
        <v>2316163</v>
      </c>
      <c r="H857" s="0" t="n">
        <v>69600</v>
      </c>
      <c r="I857" s="0" t="n">
        <v>23001</v>
      </c>
      <c r="J857" s="0" t="n">
        <v>12.5</v>
      </c>
      <c r="K857" s="0" t="n">
        <v>9</v>
      </c>
      <c r="L857" s="0" t="n">
        <v>546</v>
      </c>
      <c r="M857" s="0" t="s">
        <v>20</v>
      </c>
      <c r="N857" s="0" t="s">
        <v>67</v>
      </c>
    </row>
    <row r="858" customFormat="false" ht="15" hidden="false" customHeight="false" outlineLevel="0" collapsed="false">
      <c r="A858" s="0" t="s">
        <v>1740</v>
      </c>
      <c r="B858" s="0" t="s">
        <v>69</v>
      </c>
      <c r="C858" s="0" t="s">
        <v>475</v>
      </c>
      <c r="D858" s="0" t="s">
        <v>71</v>
      </c>
      <c r="E858" s="0" t="s">
        <v>154</v>
      </c>
      <c r="F858" s="0" t="s">
        <v>586</v>
      </c>
      <c r="G858" s="0" t="n">
        <v>1152785</v>
      </c>
      <c r="H858" s="0" t="n">
        <v>31064</v>
      </c>
      <c r="I858" s="0" t="n">
        <v>10093</v>
      </c>
      <c r="J858" s="0" t="n">
        <v>44.3</v>
      </c>
      <c r="K858" s="0" t="n">
        <v>6</v>
      </c>
      <c r="L858" s="0" t="n">
        <v>329</v>
      </c>
      <c r="M858" s="0" t="s">
        <v>20</v>
      </c>
      <c r="N858" s="0" t="s">
        <v>102</v>
      </c>
    </row>
    <row r="859" customFormat="false" ht="15" hidden="false" customHeight="false" outlineLevel="0" collapsed="false">
      <c r="A859" s="0" t="s">
        <v>1741</v>
      </c>
      <c r="B859" s="0" t="s">
        <v>1679</v>
      </c>
      <c r="C859" s="0" t="s">
        <v>309</v>
      </c>
      <c r="D859" s="0" t="s">
        <v>109</v>
      </c>
      <c r="E859" s="0" t="s">
        <v>53</v>
      </c>
      <c r="F859" s="0" t="s">
        <v>679</v>
      </c>
      <c r="G859" s="0" t="n">
        <v>1726510</v>
      </c>
      <c r="H859" s="0" t="n">
        <v>52093</v>
      </c>
      <c r="I859" s="0" t="n">
        <v>21650</v>
      </c>
      <c r="J859" s="0" t="n">
        <v>33.6</v>
      </c>
      <c r="K859" s="0" t="n">
        <v>9</v>
      </c>
      <c r="L859" s="0" t="n">
        <v>615</v>
      </c>
      <c r="M859" s="0" t="s">
        <v>20</v>
      </c>
      <c r="N859" s="0" t="s">
        <v>96</v>
      </c>
    </row>
    <row r="860" customFormat="false" ht="15" hidden="false" customHeight="false" outlineLevel="0" collapsed="false">
      <c r="A860" s="0" t="s">
        <v>1742</v>
      </c>
      <c r="B860" s="0" t="s">
        <v>1278</v>
      </c>
      <c r="C860" s="0" t="s">
        <v>486</v>
      </c>
      <c r="D860" s="0" t="s">
        <v>109</v>
      </c>
      <c r="E860" s="0" t="s">
        <v>679</v>
      </c>
      <c r="F860" s="0" t="s">
        <v>241</v>
      </c>
      <c r="G860" s="0" t="n">
        <v>1941209</v>
      </c>
      <c r="H860" s="0" t="n">
        <v>77041</v>
      </c>
      <c r="I860" s="0" t="n">
        <v>20963</v>
      </c>
      <c r="J860" s="0" t="n">
        <v>26.2</v>
      </c>
      <c r="K860" s="0" t="n">
        <v>6</v>
      </c>
      <c r="L860" s="0" t="n">
        <v>341</v>
      </c>
      <c r="M860" s="0" t="s">
        <v>20</v>
      </c>
      <c r="N860" s="0" t="s">
        <v>28</v>
      </c>
    </row>
    <row r="861" customFormat="false" ht="15" hidden="false" customHeight="false" outlineLevel="0" collapsed="false">
      <c r="A861" s="0" t="s">
        <v>1743</v>
      </c>
      <c r="B861" s="0" t="s">
        <v>730</v>
      </c>
      <c r="C861" s="0" t="s">
        <v>324</v>
      </c>
      <c r="D861" s="0" t="s">
        <v>17</v>
      </c>
      <c r="E861" s="0" t="s">
        <v>552</v>
      </c>
      <c r="F861" s="0" t="s">
        <v>539</v>
      </c>
      <c r="G861" s="0" t="n">
        <v>2092154</v>
      </c>
      <c r="H861" s="0" t="n">
        <v>62230</v>
      </c>
      <c r="I861" s="0" t="n">
        <v>19262</v>
      </c>
      <c r="J861" s="0" t="n">
        <v>33.2</v>
      </c>
      <c r="K861" s="0" t="n">
        <v>16</v>
      </c>
      <c r="L861" s="0" t="n">
        <v>205</v>
      </c>
      <c r="M861" s="0" t="s">
        <v>20</v>
      </c>
      <c r="N861" s="0" t="s">
        <v>102</v>
      </c>
    </row>
    <row r="862" customFormat="false" ht="15" hidden="false" customHeight="false" outlineLevel="0" collapsed="false">
      <c r="A862" s="0" t="s">
        <v>1744</v>
      </c>
      <c r="B862" s="0" t="s">
        <v>304</v>
      </c>
      <c r="C862" s="0" t="s">
        <v>944</v>
      </c>
      <c r="D862" s="0" t="s">
        <v>71</v>
      </c>
      <c r="E862" s="0" t="s">
        <v>73</v>
      </c>
      <c r="F862" s="0" t="s">
        <v>214</v>
      </c>
      <c r="G862" s="0" t="n">
        <v>1536111</v>
      </c>
      <c r="H862" s="0" t="n">
        <v>44929</v>
      </c>
      <c r="I862" s="0" t="n">
        <v>15563</v>
      </c>
      <c r="J862" s="0" t="n">
        <v>25.9</v>
      </c>
      <c r="K862" s="0" t="n">
        <v>5</v>
      </c>
      <c r="L862" s="0" t="n">
        <v>327</v>
      </c>
      <c r="M862" s="0" t="s">
        <v>35</v>
      </c>
      <c r="N862" s="0" t="s">
        <v>169</v>
      </c>
    </row>
    <row r="863" customFormat="false" ht="15" hidden="false" customHeight="false" outlineLevel="0" collapsed="false">
      <c r="A863" s="0" t="s">
        <v>1745</v>
      </c>
      <c r="B863" s="0" t="s">
        <v>1746</v>
      </c>
      <c r="C863" s="0" t="s">
        <v>633</v>
      </c>
      <c r="D863" s="0" t="s">
        <v>89</v>
      </c>
      <c r="E863" s="0" t="s">
        <v>586</v>
      </c>
      <c r="F863" s="0" t="s">
        <v>237</v>
      </c>
      <c r="G863" s="0" t="n">
        <v>1187279</v>
      </c>
      <c r="H863" s="0" t="n">
        <v>25082</v>
      </c>
      <c r="I863" s="0" t="n">
        <v>6338</v>
      </c>
      <c r="J863" s="0" t="n">
        <v>55.7</v>
      </c>
      <c r="K863" s="0" t="n">
        <v>12</v>
      </c>
      <c r="L863" s="0" t="n">
        <v>533</v>
      </c>
      <c r="M863" s="0" t="s">
        <v>54</v>
      </c>
      <c r="N863" s="0" t="s">
        <v>122</v>
      </c>
    </row>
    <row r="864" customFormat="false" ht="15" hidden="false" customHeight="false" outlineLevel="0" collapsed="false">
      <c r="A864" s="0" t="s">
        <v>1747</v>
      </c>
      <c r="B864" s="0" t="s">
        <v>166</v>
      </c>
      <c r="C864" s="0" t="s">
        <v>595</v>
      </c>
      <c r="D864" s="0" t="s">
        <v>59</v>
      </c>
      <c r="E864" s="0" t="s">
        <v>302</v>
      </c>
      <c r="F864" s="0" t="s">
        <v>425</v>
      </c>
      <c r="G864" s="0" t="n">
        <v>4055323</v>
      </c>
      <c r="H864" s="0" t="n">
        <v>219669</v>
      </c>
      <c r="I864" s="0" t="n">
        <v>69295</v>
      </c>
      <c r="J864" s="0" t="n">
        <v>10.7</v>
      </c>
      <c r="K864" s="0" t="n">
        <v>14</v>
      </c>
      <c r="L864" s="0" t="n">
        <v>642</v>
      </c>
      <c r="M864" s="0" t="s">
        <v>20</v>
      </c>
      <c r="N864" s="0" t="s">
        <v>96</v>
      </c>
    </row>
    <row r="865" customFormat="false" ht="15" hidden="false" customHeight="false" outlineLevel="0" collapsed="false">
      <c r="A865" s="0" t="s">
        <v>1748</v>
      </c>
      <c r="B865" s="0" t="s">
        <v>1351</v>
      </c>
      <c r="C865" s="0" t="s">
        <v>371</v>
      </c>
      <c r="D865" s="0" t="s">
        <v>144</v>
      </c>
      <c r="E865" s="0" t="s">
        <v>197</v>
      </c>
      <c r="F865" s="0" t="s">
        <v>451</v>
      </c>
      <c r="G865" s="0" t="n">
        <v>1447375</v>
      </c>
      <c r="H865" s="0" t="n">
        <v>35018</v>
      </c>
      <c r="I865" s="0" t="n">
        <v>10834</v>
      </c>
      <c r="J865" s="0" t="n">
        <v>57.5</v>
      </c>
      <c r="K865" s="0" t="n">
        <v>17</v>
      </c>
      <c r="L865" s="0" t="n">
        <v>365</v>
      </c>
      <c r="M865" s="0" t="s">
        <v>20</v>
      </c>
      <c r="N865" s="0" t="s">
        <v>55</v>
      </c>
    </row>
    <row r="866" customFormat="false" ht="15" hidden="false" customHeight="false" outlineLevel="0" collapsed="false">
      <c r="A866" s="0" t="s">
        <v>1749</v>
      </c>
      <c r="B866" s="0" t="s">
        <v>397</v>
      </c>
      <c r="C866" s="0" t="s">
        <v>578</v>
      </c>
      <c r="D866" s="0" t="s">
        <v>65</v>
      </c>
      <c r="E866" s="0" t="s">
        <v>110</v>
      </c>
      <c r="F866" s="0" t="s">
        <v>357</v>
      </c>
      <c r="G866" s="0" t="n">
        <v>1745724</v>
      </c>
      <c r="H866" s="0" t="n">
        <v>60360</v>
      </c>
      <c r="I866" s="0" t="n">
        <v>19952</v>
      </c>
      <c r="J866" s="0" t="n">
        <v>48.4</v>
      </c>
      <c r="K866" s="0" t="n">
        <v>14</v>
      </c>
      <c r="L866" s="0" t="n">
        <v>724</v>
      </c>
      <c r="M866" s="0" t="s">
        <v>20</v>
      </c>
      <c r="N866" s="0" t="s">
        <v>81</v>
      </c>
    </row>
    <row r="867" customFormat="false" ht="15" hidden="false" customHeight="false" outlineLevel="0" collapsed="false">
      <c r="A867" s="0" t="s">
        <v>1750</v>
      </c>
      <c r="B867" s="0" t="s">
        <v>374</v>
      </c>
      <c r="C867" s="0" t="s">
        <v>633</v>
      </c>
      <c r="D867" s="0" t="s">
        <v>39</v>
      </c>
      <c r="E867" s="0" t="s">
        <v>346</v>
      </c>
      <c r="F867" s="0" t="s">
        <v>347</v>
      </c>
      <c r="G867" s="0" t="n">
        <v>2391492</v>
      </c>
      <c r="H867" s="0" t="n">
        <v>87016</v>
      </c>
      <c r="I867" s="0" t="n">
        <v>27520</v>
      </c>
      <c r="J867" s="0" t="n">
        <v>54.6</v>
      </c>
      <c r="K867" s="0" t="n">
        <v>24</v>
      </c>
      <c r="L867" s="0" t="n">
        <v>568</v>
      </c>
      <c r="M867" s="0" t="s">
        <v>54</v>
      </c>
      <c r="N867" s="0" t="s">
        <v>169</v>
      </c>
    </row>
    <row r="868" customFormat="false" ht="15" hidden="false" customHeight="false" outlineLevel="0" collapsed="false">
      <c r="A868" s="0" t="s">
        <v>1751</v>
      </c>
      <c r="B868" s="0" t="s">
        <v>1027</v>
      </c>
      <c r="C868" s="0" t="s">
        <v>691</v>
      </c>
      <c r="D868" s="0" t="s">
        <v>65</v>
      </c>
      <c r="E868" s="0" t="s">
        <v>265</v>
      </c>
      <c r="F868" s="0" t="s">
        <v>487</v>
      </c>
      <c r="G868" s="0" t="n">
        <v>1839047</v>
      </c>
      <c r="H868" s="0" t="n">
        <v>58574</v>
      </c>
      <c r="I868" s="0" t="n">
        <v>13550</v>
      </c>
      <c r="J868" s="0" t="n">
        <v>47.2</v>
      </c>
      <c r="K868" s="0" t="n">
        <v>21</v>
      </c>
      <c r="L868" s="0" t="n">
        <v>695</v>
      </c>
      <c r="M868" s="0" t="s">
        <v>54</v>
      </c>
      <c r="N868" s="0" t="s">
        <v>169</v>
      </c>
    </row>
    <row r="869" customFormat="false" ht="15" hidden="false" customHeight="false" outlineLevel="0" collapsed="false">
      <c r="A869" s="0" t="s">
        <v>1752</v>
      </c>
      <c r="B869" s="0" t="s">
        <v>275</v>
      </c>
      <c r="C869" s="0" t="s">
        <v>958</v>
      </c>
      <c r="D869" s="0" t="s">
        <v>89</v>
      </c>
      <c r="E869" s="0" t="s">
        <v>379</v>
      </c>
      <c r="F869" s="0" t="s">
        <v>959</v>
      </c>
      <c r="G869" s="0" t="n">
        <v>1391110</v>
      </c>
      <c r="H869" s="0" t="n">
        <v>28753</v>
      </c>
      <c r="I869" s="0" t="n">
        <v>9071</v>
      </c>
      <c r="J869" s="0" t="n">
        <v>32</v>
      </c>
      <c r="K869" s="0" t="n">
        <v>13</v>
      </c>
      <c r="L869" s="0" t="n">
        <v>361</v>
      </c>
      <c r="M869" s="0" t="s">
        <v>20</v>
      </c>
      <c r="N869" s="0" t="s">
        <v>55</v>
      </c>
    </row>
    <row r="870" customFormat="false" ht="15" hidden="false" customHeight="false" outlineLevel="0" collapsed="false">
      <c r="A870" s="0" t="s">
        <v>1753</v>
      </c>
      <c r="B870" s="0" t="s">
        <v>791</v>
      </c>
      <c r="C870" s="0" t="s">
        <v>630</v>
      </c>
      <c r="D870" s="0" t="s">
        <v>17</v>
      </c>
      <c r="E870" s="0" t="s">
        <v>495</v>
      </c>
      <c r="F870" s="0" t="s">
        <v>145</v>
      </c>
      <c r="G870" s="0" t="n">
        <v>1300573</v>
      </c>
      <c r="H870" s="0" t="n">
        <v>35018</v>
      </c>
      <c r="I870" s="0" t="n">
        <v>11034</v>
      </c>
      <c r="J870" s="0" t="n">
        <v>21.7</v>
      </c>
      <c r="K870" s="0" t="n">
        <v>22</v>
      </c>
      <c r="L870" s="0" t="n">
        <v>742</v>
      </c>
      <c r="M870" s="0" t="s">
        <v>20</v>
      </c>
      <c r="N870" s="0" t="s">
        <v>81</v>
      </c>
    </row>
    <row r="871" customFormat="false" ht="15" hidden="false" customHeight="false" outlineLevel="0" collapsed="false">
      <c r="A871" s="0" t="s">
        <v>1754</v>
      </c>
      <c r="B871" s="0" t="s">
        <v>255</v>
      </c>
      <c r="C871" s="0" t="s">
        <v>45</v>
      </c>
      <c r="D871" s="0" t="s">
        <v>89</v>
      </c>
      <c r="E871" s="0" t="s">
        <v>586</v>
      </c>
      <c r="F871" s="0" t="s">
        <v>238</v>
      </c>
      <c r="G871" s="0" t="n">
        <v>1828406</v>
      </c>
      <c r="H871" s="0" t="n">
        <v>54794</v>
      </c>
      <c r="I871" s="0" t="n">
        <v>16775</v>
      </c>
      <c r="J871" s="0" t="n">
        <v>22.3</v>
      </c>
      <c r="K871" s="0" t="n">
        <v>23</v>
      </c>
      <c r="L871" s="0" t="n">
        <v>450</v>
      </c>
      <c r="M871" s="0" t="s">
        <v>54</v>
      </c>
      <c r="N871" s="0" t="s">
        <v>140</v>
      </c>
    </row>
    <row r="872" customFormat="false" ht="15" hidden="false" customHeight="false" outlineLevel="0" collapsed="false">
      <c r="A872" s="0" t="s">
        <v>1755</v>
      </c>
      <c r="B872" s="0" t="s">
        <v>1118</v>
      </c>
      <c r="C872" s="0" t="s">
        <v>1293</v>
      </c>
      <c r="D872" s="0" t="s">
        <v>71</v>
      </c>
      <c r="E872" s="0" t="s">
        <v>666</v>
      </c>
      <c r="F872" s="0" t="s">
        <v>154</v>
      </c>
      <c r="G872" s="0" t="n">
        <v>1775020</v>
      </c>
      <c r="H872" s="0" t="n">
        <v>40229</v>
      </c>
      <c r="I872" s="0" t="n">
        <v>9198</v>
      </c>
      <c r="J872" s="0" t="n">
        <v>4.1</v>
      </c>
      <c r="K872" s="0" t="n">
        <v>15</v>
      </c>
      <c r="L872" s="0" t="n">
        <v>237</v>
      </c>
      <c r="M872" s="0" t="s">
        <v>20</v>
      </c>
      <c r="N872" s="0" t="s">
        <v>169</v>
      </c>
    </row>
    <row r="873" customFormat="false" ht="15" hidden="false" customHeight="false" outlineLevel="0" collapsed="false">
      <c r="A873" s="0" t="s">
        <v>1756</v>
      </c>
      <c r="B873" s="0" t="s">
        <v>1757</v>
      </c>
      <c r="C873" s="0" t="s">
        <v>1681</v>
      </c>
      <c r="D873" s="0" t="s">
        <v>46</v>
      </c>
      <c r="E873" s="0" t="s">
        <v>314</v>
      </c>
      <c r="F873" s="0" t="s">
        <v>389</v>
      </c>
      <c r="G873" s="0" t="n">
        <v>2224789</v>
      </c>
      <c r="H873" s="0" t="n">
        <v>65697</v>
      </c>
      <c r="I873" s="0" t="n">
        <v>22426</v>
      </c>
      <c r="J873" s="0" t="n">
        <v>19.7</v>
      </c>
      <c r="K873" s="0" t="n">
        <v>11</v>
      </c>
      <c r="L873" s="0" t="n">
        <v>275</v>
      </c>
      <c r="M873" s="0" t="s">
        <v>20</v>
      </c>
      <c r="N873" s="0" t="s">
        <v>122</v>
      </c>
    </row>
    <row r="874" customFormat="false" ht="15" hidden="false" customHeight="false" outlineLevel="0" collapsed="false">
      <c r="A874" s="0" t="s">
        <v>1758</v>
      </c>
      <c r="B874" s="0" t="s">
        <v>585</v>
      </c>
      <c r="C874" s="0" t="s">
        <v>478</v>
      </c>
      <c r="D874" s="0" t="s">
        <v>17</v>
      </c>
      <c r="E874" s="0" t="s">
        <v>197</v>
      </c>
      <c r="F874" s="0" t="s">
        <v>435</v>
      </c>
      <c r="G874" s="0" t="n">
        <v>2839530</v>
      </c>
      <c r="H874" s="0" t="n">
        <v>82925</v>
      </c>
      <c r="I874" s="0" t="n">
        <v>25129</v>
      </c>
      <c r="J874" s="0" t="n">
        <v>50.2</v>
      </c>
      <c r="K874" s="0" t="n">
        <v>20</v>
      </c>
      <c r="L874" s="0" t="n">
        <v>246</v>
      </c>
      <c r="M874" s="0" t="s">
        <v>54</v>
      </c>
      <c r="N874" s="0" t="s">
        <v>55</v>
      </c>
    </row>
    <row r="875" customFormat="false" ht="15" hidden="false" customHeight="false" outlineLevel="0" collapsed="false">
      <c r="A875" s="0" t="s">
        <v>1759</v>
      </c>
      <c r="B875" s="0" t="s">
        <v>531</v>
      </c>
      <c r="C875" s="0" t="s">
        <v>523</v>
      </c>
      <c r="D875" s="0" t="s">
        <v>17</v>
      </c>
      <c r="E875" s="0" t="s">
        <v>79</v>
      </c>
      <c r="F875" s="0" t="s">
        <v>788</v>
      </c>
      <c r="G875" s="0" t="n">
        <v>2429702</v>
      </c>
      <c r="H875" s="0" t="n">
        <v>55575</v>
      </c>
      <c r="I875" s="0" t="n">
        <v>12748</v>
      </c>
      <c r="J875" s="0" t="n">
        <v>59.8</v>
      </c>
      <c r="K875" s="0" t="n">
        <v>18</v>
      </c>
      <c r="L875" s="0" t="n">
        <v>657</v>
      </c>
      <c r="M875" s="0" t="s">
        <v>20</v>
      </c>
      <c r="N875" s="0" t="s">
        <v>81</v>
      </c>
    </row>
    <row r="876" customFormat="false" ht="15" hidden="false" customHeight="false" outlineLevel="0" collapsed="false">
      <c r="A876" s="0" t="s">
        <v>1760</v>
      </c>
      <c r="B876" s="0" t="s">
        <v>1761</v>
      </c>
      <c r="C876" s="0" t="s">
        <v>143</v>
      </c>
      <c r="D876" s="0" t="s">
        <v>144</v>
      </c>
      <c r="E876" s="0" t="s">
        <v>229</v>
      </c>
      <c r="F876" s="0" t="s">
        <v>164</v>
      </c>
      <c r="G876" s="0" t="n">
        <v>1415299</v>
      </c>
      <c r="H876" s="0" t="n">
        <v>35983</v>
      </c>
      <c r="I876" s="0" t="n">
        <v>10207</v>
      </c>
      <c r="J876" s="0" t="n">
        <v>44.1</v>
      </c>
      <c r="K876" s="0" t="n">
        <v>17</v>
      </c>
      <c r="L876" s="0" t="n">
        <v>224</v>
      </c>
      <c r="M876" s="0" t="s">
        <v>54</v>
      </c>
      <c r="N876" s="0" t="s">
        <v>122</v>
      </c>
    </row>
    <row r="877" customFormat="false" ht="15" hidden="false" customHeight="false" outlineLevel="0" collapsed="false">
      <c r="A877" s="0" t="s">
        <v>1762</v>
      </c>
      <c r="B877" s="0" t="s">
        <v>1719</v>
      </c>
      <c r="C877" s="0" t="s">
        <v>597</v>
      </c>
      <c r="D877" s="0" t="s">
        <v>59</v>
      </c>
      <c r="E877" s="0" t="s">
        <v>182</v>
      </c>
      <c r="F877" s="0" t="s">
        <v>586</v>
      </c>
      <c r="G877" s="0" t="n">
        <v>2922451</v>
      </c>
      <c r="H877" s="0" t="n">
        <v>124921</v>
      </c>
      <c r="I877" s="0" t="n">
        <v>32518</v>
      </c>
      <c r="J877" s="0" t="n">
        <v>56.4</v>
      </c>
      <c r="K877" s="0" t="n">
        <v>7</v>
      </c>
      <c r="L877" s="0" t="n">
        <v>254</v>
      </c>
      <c r="M877" s="0" t="s">
        <v>54</v>
      </c>
      <c r="N877" s="0" t="s">
        <v>28</v>
      </c>
    </row>
    <row r="878" customFormat="false" ht="15" hidden="false" customHeight="false" outlineLevel="0" collapsed="false">
      <c r="A878" s="0" t="s">
        <v>1763</v>
      </c>
      <c r="B878" s="0" t="s">
        <v>645</v>
      </c>
      <c r="C878" s="0" t="s">
        <v>137</v>
      </c>
      <c r="D878" s="0" t="s">
        <v>25</v>
      </c>
      <c r="E878" s="0" t="s">
        <v>472</v>
      </c>
      <c r="F878" s="0" t="s">
        <v>90</v>
      </c>
      <c r="G878" s="0" t="n">
        <v>1797076</v>
      </c>
      <c r="H878" s="0" t="n">
        <v>50365</v>
      </c>
      <c r="I878" s="0" t="n">
        <v>14510</v>
      </c>
      <c r="J878" s="0" t="n">
        <v>10.1</v>
      </c>
      <c r="K878" s="0" t="n">
        <v>14</v>
      </c>
      <c r="L878" s="0" t="n">
        <v>520</v>
      </c>
      <c r="M878" s="0" t="s">
        <v>20</v>
      </c>
      <c r="N878" s="0" t="s">
        <v>96</v>
      </c>
    </row>
    <row r="879" customFormat="false" ht="15" hidden="false" customHeight="false" outlineLevel="0" collapsed="false">
      <c r="A879" s="0" t="s">
        <v>1764</v>
      </c>
      <c r="B879" s="0" t="s">
        <v>1765</v>
      </c>
      <c r="C879" s="0" t="s">
        <v>535</v>
      </c>
      <c r="D879" s="0" t="s">
        <v>59</v>
      </c>
      <c r="E879" s="0" t="s">
        <v>158</v>
      </c>
      <c r="F879" s="0" t="s">
        <v>224</v>
      </c>
      <c r="G879" s="0" t="n">
        <v>3970294</v>
      </c>
      <c r="H879" s="0" t="n">
        <v>134669</v>
      </c>
      <c r="I879" s="0" t="n">
        <v>33075</v>
      </c>
      <c r="J879" s="0" t="n">
        <v>7.3</v>
      </c>
      <c r="K879" s="0" t="n">
        <v>5</v>
      </c>
      <c r="L879" s="0" t="n">
        <v>701</v>
      </c>
      <c r="M879" s="0" t="s">
        <v>20</v>
      </c>
      <c r="N879" s="0" t="s">
        <v>42</v>
      </c>
    </row>
    <row r="880" customFormat="false" ht="15" hidden="false" customHeight="false" outlineLevel="0" collapsed="false">
      <c r="A880" s="0" t="s">
        <v>1766</v>
      </c>
      <c r="B880" s="0" t="s">
        <v>1767</v>
      </c>
      <c r="C880" s="0" t="s">
        <v>64</v>
      </c>
      <c r="D880" s="0" t="s">
        <v>78</v>
      </c>
      <c r="E880" s="0" t="s">
        <v>233</v>
      </c>
      <c r="F880" s="0" t="s">
        <v>61</v>
      </c>
      <c r="G880" s="0" t="n">
        <v>4461154</v>
      </c>
      <c r="H880" s="0" t="n">
        <v>210696</v>
      </c>
      <c r="I880" s="0" t="n">
        <v>46626</v>
      </c>
      <c r="J880" s="0" t="n">
        <v>31.4</v>
      </c>
      <c r="K880" s="0" t="n">
        <v>20</v>
      </c>
      <c r="L880" s="0" t="n">
        <v>720</v>
      </c>
      <c r="M880" s="0" t="s">
        <v>35</v>
      </c>
      <c r="N880" s="0" t="s">
        <v>28</v>
      </c>
    </row>
    <row r="881" customFormat="false" ht="15" hidden="false" customHeight="false" outlineLevel="0" collapsed="false">
      <c r="A881" s="0" t="s">
        <v>1768</v>
      </c>
      <c r="B881" s="0" t="s">
        <v>1154</v>
      </c>
      <c r="C881" s="0" t="s">
        <v>795</v>
      </c>
      <c r="D881" s="0" t="s">
        <v>39</v>
      </c>
      <c r="E881" s="0" t="s">
        <v>265</v>
      </c>
      <c r="F881" s="0" t="s">
        <v>269</v>
      </c>
      <c r="G881" s="0" t="n">
        <v>1791798</v>
      </c>
      <c r="H881" s="0" t="n">
        <v>81494</v>
      </c>
      <c r="I881" s="0" t="n">
        <v>27417</v>
      </c>
      <c r="J881" s="0" t="n">
        <v>39</v>
      </c>
      <c r="K881" s="0" t="n">
        <v>8</v>
      </c>
      <c r="L881" s="0" t="n">
        <v>250</v>
      </c>
      <c r="M881" s="0" t="s">
        <v>35</v>
      </c>
      <c r="N881" s="0" t="s">
        <v>21</v>
      </c>
    </row>
    <row r="882" customFormat="false" ht="15" hidden="false" customHeight="false" outlineLevel="0" collapsed="false">
      <c r="A882" s="0" t="s">
        <v>1769</v>
      </c>
      <c r="B882" s="0" t="s">
        <v>1178</v>
      </c>
      <c r="C882" s="0" t="s">
        <v>492</v>
      </c>
      <c r="D882" s="0" t="s">
        <v>46</v>
      </c>
      <c r="E882" s="0" t="s">
        <v>47</v>
      </c>
      <c r="F882" s="0" t="s">
        <v>380</v>
      </c>
      <c r="G882" s="0" t="n">
        <v>1796137</v>
      </c>
      <c r="H882" s="0" t="n">
        <v>58524</v>
      </c>
      <c r="I882" s="0" t="n">
        <v>19217</v>
      </c>
      <c r="J882" s="0" t="n">
        <v>26.8</v>
      </c>
      <c r="K882" s="0" t="n">
        <v>9</v>
      </c>
      <c r="L882" s="0" t="n">
        <v>356</v>
      </c>
      <c r="M882" s="0" t="s">
        <v>20</v>
      </c>
      <c r="N882" s="0" t="s">
        <v>169</v>
      </c>
    </row>
    <row r="883" customFormat="false" ht="15" hidden="false" customHeight="false" outlineLevel="0" collapsed="false">
      <c r="A883" s="0" t="s">
        <v>1770</v>
      </c>
      <c r="B883" s="0" t="s">
        <v>1771</v>
      </c>
      <c r="C883" s="0" t="s">
        <v>445</v>
      </c>
      <c r="D883" s="0" t="s">
        <v>144</v>
      </c>
      <c r="E883" s="0" t="s">
        <v>648</v>
      </c>
      <c r="F883" s="0" t="s">
        <v>121</v>
      </c>
      <c r="G883" s="0" t="n">
        <v>2471890</v>
      </c>
      <c r="H883" s="0" t="n">
        <v>61550</v>
      </c>
      <c r="I883" s="0" t="n">
        <v>22525</v>
      </c>
      <c r="J883" s="0" t="n">
        <v>7.2</v>
      </c>
      <c r="K883" s="0" t="n">
        <v>25</v>
      </c>
      <c r="L883" s="0" t="n">
        <v>656</v>
      </c>
      <c r="M883" s="0" t="s">
        <v>20</v>
      </c>
      <c r="N883" s="0" t="s">
        <v>21</v>
      </c>
    </row>
    <row r="884" customFormat="false" ht="15" hidden="false" customHeight="false" outlineLevel="0" collapsed="false">
      <c r="A884" s="0" t="s">
        <v>1772</v>
      </c>
      <c r="B884" s="0" t="s">
        <v>1773</v>
      </c>
      <c r="C884" s="0" t="s">
        <v>301</v>
      </c>
      <c r="D884" s="0" t="s">
        <v>78</v>
      </c>
      <c r="E884" s="0" t="s">
        <v>273</v>
      </c>
      <c r="F884" s="0" t="s">
        <v>100</v>
      </c>
      <c r="G884" s="0" t="n">
        <v>5171369</v>
      </c>
      <c r="H884" s="0" t="n">
        <v>164663</v>
      </c>
      <c r="I884" s="0" t="n">
        <v>44934</v>
      </c>
      <c r="J884" s="0" t="n">
        <v>16.1</v>
      </c>
      <c r="K884" s="0" t="n">
        <v>13</v>
      </c>
      <c r="L884" s="0" t="n">
        <v>405</v>
      </c>
      <c r="M884" s="0" t="s">
        <v>35</v>
      </c>
      <c r="N884" s="0" t="s">
        <v>169</v>
      </c>
    </row>
    <row r="885" customFormat="false" ht="15" hidden="false" customHeight="false" outlineLevel="0" collapsed="false">
      <c r="A885" s="0" t="s">
        <v>1774</v>
      </c>
      <c r="B885" s="0" t="s">
        <v>1775</v>
      </c>
      <c r="C885" s="0" t="s">
        <v>189</v>
      </c>
      <c r="D885" s="0" t="s">
        <v>78</v>
      </c>
      <c r="E885" s="0" t="s">
        <v>586</v>
      </c>
      <c r="F885" s="0" t="s">
        <v>289</v>
      </c>
      <c r="G885" s="0" t="n">
        <v>2914489</v>
      </c>
      <c r="H885" s="0" t="n">
        <v>107154</v>
      </c>
      <c r="I885" s="0" t="n">
        <v>30081</v>
      </c>
      <c r="J885" s="0" t="n">
        <v>27.8</v>
      </c>
      <c r="K885" s="0" t="n">
        <v>14</v>
      </c>
      <c r="L885" s="0" t="n">
        <v>445</v>
      </c>
      <c r="M885" s="0" t="s">
        <v>54</v>
      </c>
      <c r="N885" s="0" t="s">
        <v>102</v>
      </c>
    </row>
    <row r="886" customFormat="false" ht="15" hidden="false" customHeight="false" outlineLevel="0" collapsed="false">
      <c r="A886" s="0" t="s">
        <v>1776</v>
      </c>
      <c r="B886" s="0" t="s">
        <v>1777</v>
      </c>
      <c r="C886" s="0" t="s">
        <v>572</v>
      </c>
      <c r="D886" s="0" t="s">
        <v>71</v>
      </c>
      <c r="E886" s="0" t="s">
        <v>618</v>
      </c>
      <c r="F886" s="0" t="s">
        <v>380</v>
      </c>
      <c r="G886" s="0" t="n">
        <v>973188</v>
      </c>
      <c r="H886" s="0" t="n">
        <v>23650</v>
      </c>
      <c r="I886" s="0" t="n">
        <v>5794</v>
      </c>
      <c r="J886" s="0" t="n">
        <v>47.8</v>
      </c>
      <c r="K886" s="0" t="n">
        <v>25</v>
      </c>
      <c r="L886" s="0" t="n">
        <v>245</v>
      </c>
      <c r="M886" s="0" t="s">
        <v>20</v>
      </c>
      <c r="N886" s="0" t="s">
        <v>42</v>
      </c>
    </row>
    <row r="887" customFormat="false" ht="15" hidden="false" customHeight="false" outlineLevel="0" collapsed="false">
      <c r="A887" s="0" t="s">
        <v>1778</v>
      </c>
      <c r="B887" s="0" t="s">
        <v>1779</v>
      </c>
      <c r="C887" s="0" t="s">
        <v>1014</v>
      </c>
      <c r="D887" s="0" t="s">
        <v>78</v>
      </c>
      <c r="E887" s="0" t="s">
        <v>176</v>
      </c>
      <c r="F887" s="0" t="s">
        <v>284</v>
      </c>
      <c r="G887" s="0" t="n">
        <v>5310642</v>
      </c>
      <c r="H887" s="0" t="n">
        <v>198818</v>
      </c>
      <c r="I887" s="0" t="n">
        <v>50671</v>
      </c>
      <c r="J887" s="0" t="n">
        <v>40.6</v>
      </c>
      <c r="K887" s="0" t="n">
        <v>19</v>
      </c>
      <c r="L887" s="0" t="n">
        <v>357</v>
      </c>
      <c r="M887" s="0" t="s">
        <v>35</v>
      </c>
      <c r="N887" s="0" t="s">
        <v>67</v>
      </c>
    </row>
    <row r="888" customFormat="false" ht="15" hidden="false" customHeight="false" outlineLevel="0" collapsed="false">
      <c r="A888" s="0" t="s">
        <v>1780</v>
      </c>
      <c r="B888" s="0" t="s">
        <v>853</v>
      </c>
      <c r="C888" s="0" t="s">
        <v>64</v>
      </c>
      <c r="D888" s="0" t="s">
        <v>65</v>
      </c>
      <c r="E888" s="0" t="s">
        <v>302</v>
      </c>
      <c r="F888" s="0" t="s">
        <v>90</v>
      </c>
      <c r="G888" s="0" t="n">
        <v>1681427</v>
      </c>
      <c r="H888" s="0" t="n">
        <v>51870</v>
      </c>
      <c r="I888" s="0" t="n">
        <v>16103</v>
      </c>
      <c r="J888" s="0" t="n">
        <v>14.6</v>
      </c>
      <c r="K888" s="0" t="n">
        <v>24</v>
      </c>
      <c r="L888" s="0" t="n">
        <v>606</v>
      </c>
      <c r="M888" s="0" t="s">
        <v>20</v>
      </c>
      <c r="N888" s="0" t="s">
        <v>169</v>
      </c>
    </row>
    <row r="889" customFormat="false" ht="15" hidden="false" customHeight="false" outlineLevel="0" collapsed="false">
      <c r="A889" s="0" t="s">
        <v>1781</v>
      </c>
      <c r="B889" s="0" t="s">
        <v>291</v>
      </c>
      <c r="C889" s="0" t="s">
        <v>731</v>
      </c>
      <c r="D889" s="0" t="s">
        <v>78</v>
      </c>
      <c r="E889" s="0" t="s">
        <v>435</v>
      </c>
      <c r="F889" s="0" t="s">
        <v>159</v>
      </c>
      <c r="G889" s="0" t="n">
        <v>5301073</v>
      </c>
      <c r="H889" s="0" t="n">
        <v>186903</v>
      </c>
      <c r="I889" s="0" t="n">
        <v>50378</v>
      </c>
      <c r="J889" s="0" t="n">
        <v>26.9</v>
      </c>
      <c r="K889" s="0" t="n">
        <v>15</v>
      </c>
      <c r="L889" s="0" t="n">
        <v>549</v>
      </c>
      <c r="M889" s="0" t="s">
        <v>20</v>
      </c>
      <c r="N889" s="0" t="s">
        <v>28</v>
      </c>
    </row>
    <row r="890" customFormat="false" ht="15" hidden="false" customHeight="false" outlineLevel="0" collapsed="false">
      <c r="A890" s="0" t="s">
        <v>1782</v>
      </c>
      <c r="B890" s="0" t="s">
        <v>1783</v>
      </c>
      <c r="C890" s="0" t="s">
        <v>669</v>
      </c>
      <c r="D890" s="0" t="s">
        <v>144</v>
      </c>
      <c r="E890" s="0" t="s">
        <v>176</v>
      </c>
      <c r="F890" s="0" t="s">
        <v>1038</v>
      </c>
      <c r="G890" s="0" t="n">
        <v>2489165</v>
      </c>
      <c r="H890" s="0" t="n">
        <v>60430</v>
      </c>
      <c r="I890" s="0" t="n">
        <v>14103</v>
      </c>
      <c r="J890" s="0" t="n">
        <v>22.2</v>
      </c>
      <c r="K890" s="0" t="n">
        <v>19</v>
      </c>
      <c r="L890" s="0" t="n">
        <v>500</v>
      </c>
      <c r="M890" s="0" t="s">
        <v>20</v>
      </c>
      <c r="N890" s="0" t="s">
        <v>55</v>
      </c>
    </row>
    <row r="891" customFormat="false" ht="15" hidden="false" customHeight="false" outlineLevel="0" collapsed="false">
      <c r="A891" s="0" t="s">
        <v>1784</v>
      </c>
      <c r="B891" s="0" t="s">
        <v>1785</v>
      </c>
      <c r="C891" s="0" t="s">
        <v>597</v>
      </c>
      <c r="D891" s="0" t="s">
        <v>32</v>
      </c>
      <c r="E891" s="0" t="s">
        <v>292</v>
      </c>
      <c r="F891" s="0" t="s">
        <v>1786</v>
      </c>
      <c r="G891" s="0" t="n">
        <v>5385932</v>
      </c>
      <c r="H891" s="0" t="n">
        <v>194689</v>
      </c>
      <c r="I891" s="0" t="n">
        <v>67104</v>
      </c>
      <c r="J891" s="0" t="n">
        <v>35.2</v>
      </c>
      <c r="K891" s="0" t="n">
        <v>16</v>
      </c>
      <c r="L891" s="0" t="n">
        <v>566</v>
      </c>
      <c r="M891" s="0" t="s">
        <v>35</v>
      </c>
      <c r="N891" s="0" t="s">
        <v>21</v>
      </c>
    </row>
    <row r="892" customFormat="false" ht="15" hidden="false" customHeight="false" outlineLevel="0" collapsed="false">
      <c r="A892" s="0" t="s">
        <v>1787</v>
      </c>
      <c r="B892" s="0" t="s">
        <v>1788</v>
      </c>
      <c r="C892" s="0" t="s">
        <v>706</v>
      </c>
      <c r="D892" s="0" t="s">
        <v>32</v>
      </c>
      <c r="E892" s="0" t="s">
        <v>618</v>
      </c>
      <c r="F892" s="0" t="s">
        <v>47</v>
      </c>
      <c r="G892" s="0" t="n">
        <v>5817015</v>
      </c>
      <c r="H892" s="0" t="n">
        <v>206006</v>
      </c>
      <c r="I892" s="0" t="n">
        <v>51977</v>
      </c>
      <c r="J892" s="0" t="n">
        <v>27</v>
      </c>
      <c r="K892" s="0" t="n">
        <v>17</v>
      </c>
      <c r="L892" s="0" t="n">
        <v>545</v>
      </c>
      <c r="M892" s="0" t="s">
        <v>35</v>
      </c>
      <c r="N892" s="0" t="s">
        <v>81</v>
      </c>
    </row>
    <row r="893" customFormat="false" ht="15" hidden="false" customHeight="false" outlineLevel="0" collapsed="false">
      <c r="A893" s="0" t="s">
        <v>1789</v>
      </c>
      <c r="B893" s="0" t="s">
        <v>650</v>
      </c>
      <c r="C893" s="0" t="s">
        <v>189</v>
      </c>
      <c r="D893" s="0" t="s">
        <v>32</v>
      </c>
      <c r="E893" s="0" t="s">
        <v>440</v>
      </c>
      <c r="F893" s="0" t="s">
        <v>280</v>
      </c>
      <c r="G893" s="0" t="n">
        <v>4595979</v>
      </c>
      <c r="H893" s="0" t="n">
        <v>185055</v>
      </c>
      <c r="I893" s="0" t="n">
        <v>50783</v>
      </c>
      <c r="J893" s="0" t="n">
        <v>29.5</v>
      </c>
      <c r="K893" s="0" t="n">
        <v>20</v>
      </c>
      <c r="L893" s="0" t="n">
        <v>476</v>
      </c>
      <c r="M893" s="0" t="s">
        <v>20</v>
      </c>
      <c r="N893" s="0" t="s">
        <v>42</v>
      </c>
    </row>
    <row r="894" customFormat="false" ht="15" hidden="false" customHeight="false" outlineLevel="0" collapsed="false">
      <c r="A894" s="0" t="s">
        <v>1790</v>
      </c>
      <c r="B894" s="0" t="s">
        <v>1170</v>
      </c>
      <c r="C894" s="0" t="s">
        <v>902</v>
      </c>
      <c r="D894" s="0" t="s">
        <v>39</v>
      </c>
      <c r="E894" s="0" t="s">
        <v>73</v>
      </c>
      <c r="F894" s="0" t="s">
        <v>130</v>
      </c>
      <c r="G894" s="0" t="n">
        <v>3401678</v>
      </c>
      <c r="H894" s="0" t="n">
        <v>162963</v>
      </c>
      <c r="I894" s="0" t="n">
        <v>49260</v>
      </c>
      <c r="J894" s="0" t="n">
        <v>46.3</v>
      </c>
      <c r="K894" s="0" t="n">
        <v>17</v>
      </c>
      <c r="L894" s="0" t="n">
        <v>319</v>
      </c>
      <c r="M894" s="0" t="s">
        <v>54</v>
      </c>
      <c r="N894" s="0" t="s">
        <v>81</v>
      </c>
    </row>
    <row r="895" customFormat="false" ht="15" hidden="false" customHeight="false" outlineLevel="0" collapsed="false">
      <c r="A895" s="0" t="s">
        <v>1791</v>
      </c>
      <c r="B895" s="0" t="s">
        <v>442</v>
      </c>
      <c r="C895" s="0" t="s">
        <v>180</v>
      </c>
      <c r="D895" s="0" t="s">
        <v>59</v>
      </c>
      <c r="E895" s="0" t="s">
        <v>253</v>
      </c>
      <c r="F895" s="0" t="s">
        <v>205</v>
      </c>
      <c r="G895" s="0" t="n">
        <v>3372422</v>
      </c>
      <c r="H895" s="0" t="n">
        <v>167877</v>
      </c>
      <c r="I895" s="0" t="n">
        <v>43194</v>
      </c>
      <c r="J895" s="0" t="n">
        <v>3.4</v>
      </c>
      <c r="K895" s="0" t="n">
        <v>19</v>
      </c>
      <c r="L895" s="0" t="n">
        <v>302</v>
      </c>
      <c r="M895" s="0" t="s">
        <v>54</v>
      </c>
      <c r="N895" s="0" t="s">
        <v>67</v>
      </c>
    </row>
    <row r="896" customFormat="false" ht="15" hidden="false" customHeight="false" outlineLevel="0" collapsed="false">
      <c r="A896" s="0" t="s">
        <v>1792</v>
      </c>
      <c r="B896" s="0" t="s">
        <v>1767</v>
      </c>
      <c r="C896" s="0" t="s">
        <v>247</v>
      </c>
      <c r="D896" s="0" t="s">
        <v>144</v>
      </c>
      <c r="E896" s="0" t="s">
        <v>47</v>
      </c>
      <c r="F896" s="0" t="s">
        <v>380</v>
      </c>
      <c r="G896" s="0" t="n">
        <v>1872540</v>
      </c>
      <c r="H896" s="0" t="n">
        <v>55920</v>
      </c>
      <c r="I896" s="0" t="n">
        <v>12434</v>
      </c>
      <c r="J896" s="0" t="n">
        <v>41.1</v>
      </c>
      <c r="K896" s="0" t="n">
        <v>20</v>
      </c>
      <c r="L896" s="0" t="n">
        <v>199</v>
      </c>
      <c r="M896" s="0" t="s">
        <v>35</v>
      </c>
      <c r="N896" s="0" t="s">
        <v>42</v>
      </c>
    </row>
    <row r="897" customFormat="false" ht="15" hidden="false" customHeight="false" outlineLevel="0" collapsed="false">
      <c r="A897" s="0" t="s">
        <v>1793</v>
      </c>
      <c r="B897" s="0" t="s">
        <v>1794</v>
      </c>
      <c r="C897" s="0" t="s">
        <v>84</v>
      </c>
      <c r="D897" s="0" t="s">
        <v>78</v>
      </c>
      <c r="E897" s="0" t="s">
        <v>435</v>
      </c>
      <c r="F897" s="0" t="s">
        <v>158</v>
      </c>
      <c r="G897" s="0" t="n">
        <v>4696643</v>
      </c>
      <c r="H897" s="0" t="n">
        <v>160899</v>
      </c>
      <c r="I897" s="0" t="n">
        <v>57445</v>
      </c>
      <c r="J897" s="0" t="n">
        <v>27</v>
      </c>
      <c r="K897" s="0" t="n">
        <v>11</v>
      </c>
      <c r="L897" s="0" t="n">
        <v>739</v>
      </c>
      <c r="M897" s="0" t="s">
        <v>54</v>
      </c>
      <c r="N897" s="0" t="s">
        <v>21</v>
      </c>
    </row>
    <row r="898" customFormat="false" ht="15" hidden="false" customHeight="false" outlineLevel="0" collapsed="false">
      <c r="A898" s="0" t="s">
        <v>1795</v>
      </c>
      <c r="B898" s="0" t="s">
        <v>877</v>
      </c>
      <c r="C898" s="0" t="s">
        <v>287</v>
      </c>
      <c r="D898" s="0" t="s">
        <v>71</v>
      </c>
      <c r="E898" s="0" t="s">
        <v>139</v>
      </c>
      <c r="F898" s="0" t="s">
        <v>544</v>
      </c>
      <c r="G898" s="0" t="n">
        <v>1144072</v>
      </c>
      <c r="H898" s="0" t="n">
        <v>26723</v>
      </c>
      <c r="I898" s="0" t="n">
        <v>6060</v>
      </c>
      <c r="J898" s="0" t="n">
        <v>20</v>
      </c>
      <c r="K898" s="0" t="n">
        <v>18</v>
      </c>
      <c r="L898" s="0" t="n">
        <v>489</v>
      </c>
      <c r="M898" s="0" t="s">
        <v>54</v>
      </c>
      <c r="N898" s="0" t="s">
        <v>28</v>
      </c>
    </row>
    <row r="899" customFormat="false" ht="15" hidden="false" customHeight="false" outlineLevel="0" collapsed="false">
      <c r="A899" s="0" t="s">
        <v>1796</v>
      </c>
      <c r="B899" s="0" t="s">
        <v>1146</v>
      </c>
      <c r="C899" s="0" t="s">
        <v>630</v>
      </c>
      <c r="D899" s="0" t="s">
        <v>65</v>
      </c>
      <c r="E899" s="0" t="s">
        <v>280</v>
      </c>
      <c r="F899" s="0" t="s">
        <v>60</v>
      </c>
      <c r="G899" s="0" t="n">
        <v>1614476</v>
      </c>
      <c r="H899" s="0" t="n">
        <v>61833</v>
      </c>
      <c r="I899" s="0" t="n">
        <v>18245</v>
      </c>
      <c r="J899" s="0" t="n">
        <v>20.1</v>
      </c>
      <c r="K899" s="0" t="n">
        <v>5</v>
      </c>
      <c r="L899" s="0" t="n">
        <v>771</v>
      </c>
      <c r="M899" s="0" t="s">
        <v>20</v>
      </c>
      <c r="N899" s="0" t="s">
        <v>102</v>
      </c>
    </row>
    <row r="900" customFormat="false" ht="15" hidden="false" customHeight="false" outlineLevel="0" collapsed="false">
      <c r="A900" s="0" t="s">
        <v>1797</v>
      </c>
      <c r="B900" s="0" t="s">
        <v>1798</v>
      </c>
      <c r="C900" s="0" t="s">
        <v>1020</v>
      </c>
      <c r="D900" s="0" t="s">
        <v>39</v>
      </c>
      <c r="E900" s="0" t="s">
        <v>265</v>
      </c>
      <c r="F900" s="0" t="s">
        <v>487</v>
      </c>
      <c r="G900" s="0" t="n">
        <v>1617024</v>
      </c>
      <c r="H900" s="0" t="n">
        <v>57638</v>
      </c>
      <c r="I900" s="0" t="n">
        <v>16586</v>
      </c>
      <c r="J900" s="0" t="n">
        <v>5.2</v>
      </c>
      <c r="K900" s="0" t="n">
        <v>20</v>
      </c>
      <c r="L900" s="0" t="n">
        <v>502</v>
      </c>
      <c r="M900" s="0" t="s">
        <v>35</v>
      </c>
      <c r="N900" s="0" t="s">
        <v>102</v>
      </c>
    </row>
    <row r="901" customFormat="false" ht="15" hidden="false" customHeight="false" outlineLevel="0" collapsed="false">
      <c r="A901" s="0" t="s">
        <v>1799</v>
      </c>
      <c r="B901" s="0" t="s">
        <v>814</v>
      </c>
      <c r="C901" s="0" t="s">
        <v>287</v>
      </c>
      <c r="D901" s="0" t="s">
        <v>71</v>
      </c>
      <c r="E901" s="0" t="s">
        <v>177</v>
      </c>
      <c r="F901" s="0" t="s">
        <v>407</v>
      </c>
      <c r="G901" s="0" t="n">
        <v>1575032</v>
      </c>
      <c r="H901" s="0" t="n">
        <v>34716</v>
      </c>
      <c r="I901" s="0" t="n">
        <v>9060</v>
      </c>
      <c r="J901" s="0" t="n">
        <v>35.8</v>
      </c>
      <c r="K901" s="0" t="n">
        <v>25</v>
      </c>
      <c r="L901" s="0" t="n">
        <v>571</v>
      </c>
      <c r="M901" s="0" t="s">
        <v>20</v>
      </c>
      <c r="N901" s="0" t="s">
        <v>122</v>
      </c>
    </row>
    <row r="902" customFormat="false" ht="15" hidden="false" customHeight="false" outlineLevel="0" collapsed="false">
      <c r="A902" s="0" t="s">
        <v>1800</v>
      </c>
      <c r="B902" s="0" t="s">
        <v>1087</v>
      </c>
      <c r="C902" s="0" t="s">
        <v>378</v>
      </c>
      <c r="D902" s="0" t="s">
        <v>39</v>
      </c>
      <c r="E902" s="0" t="s">
        <v>959</v>
      </c>
      <c r="F902" s="0" t="s">
        <v>372</v>
      </c>
      <c r="G902" s="0" t="n">
        <v>2285730</v>
      </c>
      <c r="H902" s="0" t="n">
        <v>83972</v>
      </c>
      <c r="I902" s="0" t="n">
        <v>21264</v>
      </c>
      <c r="J902" s="0" t="n">
        <v>3.6</v>
      </c>
      <c r="K902" s="0" t="n">
        <v>11</v>
      </c>
      <c r="L902" s="0" t="n">
        <v>524</v>
      </c>
      <c r="M902" s="0" t="s">
        <v>54</v>
      </c>
      <c r="N902" s="0" t="s">
        <v>67</v>
      </c>
    </row>
    <row r="903" customFormat="false" ht="15" hidden="false" customHeight="false" outlineLevel="0" collapsed="false">
      <c r="A903" s="0" t="s">
        <v>1801</v>
      </c>
      <c r="B903" s="0" t="s">
        <v>491</v>
      </c>
      <c r="C903" s="0" t="s">
        <v>840</v>
      </c>
      <c r="D903" s="0" t="s">
        <v>109</v>
      </c>
      <c r="E903" s="0" t="s">
        <v>198</v>
      </c>
      <c r="F903" s="0" t="s">
        <v>393</v>
      </c>
      <c r="G903" s="0" t="n">
        <v>1207440</v>
      </c>
      <c r="H903" s="0" t="n">
        <v>33689</v>
      </c>
      <c r="I903" s="0" t="n">
        <v>8776</v>
      </c>
      <c r="J903" s="0" t="n">
        <v>50.4</v>
      </c>
      <c r="K903" s="0" t="n">
        <v>8</v>
      </c>
      <c r="L903" s="0" t="n">
        <v>263</v>
      </c>
      <c r="M903" s="0" t="s">
        <v>20</v>
      </c>
      <c r="N903" s="0" t="s">
        <v>140</v>
      </c>
    </row>
    <row r="904" customFormat="false" ht="15" hidden="false" customHeight="false" outlineLevel="0" collapsed="false">
      <c r="A904" s="0" t="s">
        <v>1802</v>
      </c>
      <c r="B904" s="0" t="s">
        <v>1803</v>
      </c>
      <c r="C904" s="0" t="s">
        <v>720</v>
      </c>
      <c r="D904" s="0" t="s">
        <v>65</v>
      </c>
      <c r="E904" s="0" t="s">
        <v>495</v>
      </c>
      <c r="F904" s="0" t="s">
        <v>145</v>
      </c>
      <c r="G904" s="0" t="n">
        <v>2183538</v>
      </c>
      <c r="H904" s="0" t="n">
        <v>72780</v>
      </c>
      <c r="I904" s="0" t="n">
        <v>17274</v>
      </c>
      <c r="J904" s="0" t="n">
        <v>13.7</v>
      </c>
      <c r="K904" s="0" t="n">
        <v>8</v>
      </c>
      <c r="L904" s="0" t="n">
        <v>446</v>
      </c>
      <c r="M904" s="0" t="s">
        <v>20</v>
      </c>
      <c r="N904" s="0" t="s">
        <v>96</v>
      </c>
    </row>
    <row r="905" customFormat="false" ht="15" hidden="false" customHeight="false" outlineLevel="0" collapsed="false">
      <c r="A905" s="0" t="s">
        <v>1804</v>
      </c>
      <c r="B905" s="0" t="s">
        <v>1779</v>
      </c>
      <c r="C905" s="0" t="s">
        <v>223</v>
      </c>
      <c r="D905" s="0" t="s">
        <v>78</v>
      </c>
      <c r="E905" s="0" t="s">
        <v>288</v>
      </c>
      <c r="F905" s="0" t="s">
        <v>422</v>
      </c>
      <c r="G905" s="0" t="n">
        <v>3774311</v>
      </c>
      <c r="H905" s="0" t="n">
        <v>140600</v>
      </c>
      <c r="I905" s="0" t="n">
        <v>48210</v>
      </c>
      <c r="J905" s="0" t="n">
        <v>46.3</v>
      </c>
      <c r="K905" s="0" t="n">
        <v>21</v>
      </c>
      <c r="L905" s="0" t="n">
        <v>406</v>
      </c>
      <c r="M905" s="0" t="s">
        <v>20</v>
      </c>
      <c r="N905" s="0" t="s">
        <v>169</v>
      </c>
    </row>
    <row r="906" customFormat="false" ht="15" hidden="false" customHeight="false" outlineLevel="0" collapsed="false">
      <c r="A906" s="0" t="s">
        <v>1805</v>
      </c>
      <c r="B906" s="0" t="s">
        <v>980</v>
      </c>
      <c r="C906" s="0" t="s">
        <v>526</v>
      </c>
      <c r="D906" s="0" t="s">
        <v>17</v>
      </c>
      <c r="E906" s="0" t="s">
        <v>233</v>
      </c>
      <c r="F906" s="0" t="s">
        <v>558</v>
      </c>
      <c r="G906" s="0" t="n">
        <v>1440062</v>
      </c>
      <c r="H906" s="0" t="n">
        <v>44560</v>
      </c>
      <c r="I906" s="0" t="n">
        <v>15746</v>
      </c>
      <c r="J906" s="0" t="n">
        <v>46.7</v>
      </c>
      <c r="K906" s="0" t="n">
        <v>22</v>
      </c>
      <c r="L906" s="0" t="n">
        <v>346</v>
      </c>
      <c r="M906" s="0" t="s">
        <v>54</v>
      </c>
      <c r="N906" s="0" t="s">
        <v>28</v>
      </c>
    </row>
    <row r="907" customFormat="false" ht="15" hidden="false" customHeight="false" outlineLevel="0" collapsed="false">
      <c r="A907" s="0" t="s">
        <v>1806</v>
      </c>
      <c r="B907" s="0" t="s">
        <v>814</v>
      </c>
      <c r="C907" s="0" t="s">
        <v>812</v>
      </c>
      <c r="D907" s="0" t="s">
        <v>46</v>
      </c>
      <c r="E907" s="0" t="s">
        <v>176</v>
      </c>
      <c r="F907" s="0" t="s">
        <v>284</v>
      </c>
      <c r="G907" s="0" t="n">
        <v>1906709</v>
      </c>
      <c r="H907" s="0" t="n">
        <v>46947</v>
      </c>
      <c r="I907" s="0" t="n">
        <v>10257</v>
      </c>
      <c r="J907" s="0" t="n">
        <v>30.6</v>
      </c>
      <c r="K907" s="0" t="n">
        <v>23</v>
      </c>
      <c r="L907" s="0" t="n">
        <v>371</v>
      </c>
      <c r="M907" s="0" t="s">
        <v>54</v>
      </c>
      <c r="N907" s="0" t="s">
        <v>55</v>
      </c>
    </row>
    <row r="908" customFormat="false" ht="15" hidden="false" customHeight="false" outlineLevel="0" collapsed="false">
      <c r="A908" s="0" t="s">
        <v>1807</v>
      </c>
      <c r="B908" s="0" t="s">
        <v>594</v>
      </c>
      <c r="C908" s="0" t="s">
        <v>549</v>
      </c>
      <c r="D908" s="0" t="s">
        <v>17</v>
      </c>
      <c r="E908" s="0" t="s">
        <v>495</v>
      </c>
      <c r="F908" s="0" t="s">
        <v>209</v>
      </c>
      <c r="G908" s="0" t="n">
        <v>1572996</v>
      </c>
      <c r="H908" s="0" t="n">
        <v>52012</v>
      </c>
      <c r="I908" s="0" t="n">
        <v>11372</v>
      </c>
      <c r="J908" s="0" t="n">
        <v>20.5</v>
      </c>
      <c r="K908" s="0" t="n">
        <v>5</v>
      </c>
      <c r="L908" s="0" t="n">
        <v>256</v>
      </c>
      <c r="M908" s="0" t="s">
        <v>54</v>
      </c>
      <c r="N908" s="0" t="s">
        <v>42</v>
      </c>
    </row>
    <row r="909" customFormat="false" ht="15" hidden="false" customHeight="false" outlineLevel="0" collapsed="false">
      <c r="A909" s="0" t="s">
        <v>1808</v>
      </c>
      <c r="B909" s="0" t="s">
        <v>1809</v>
      </c>
      <c r="C909" s="0" t="s">
        <v>526</v>
      </c>
      <c r="D909" s="0" t="s">
        <v>32</v>
      </c>
      <c r="E909" s="0" t="s">
        <v>407</v>
      </c>
      <c r="F909" s="0" t="s">
        <v>314</v>
      </c>
      <c r="G909" s="0" t="n">
        <v>4121930</v>
      </c>
      <c r="H909" s="0" t="n">
        <v>164463</v>
      </c>
      <c r="I909" s="0" t="n">
        <v>59295</v>
      </c>
      <c r="J909" s="0" t="n">
        <v>15.2</v>
      </c>
      <c r="K909" s="0" t="n">
        <v>5</v>
      </c>
      <c r="L909" s="0" t="n">
        <v>629</v>
      </c>
      <c r="M909" s="0" t="s">
        <v>54</v>
      </c>
      <c r="N909" s="0" t="s">
        <v>140</v>
      </c>
    </row>
    <row r="910" customFormat="false" ht="15" hidden="false" customHeight="false" outlineLevel="0" collapsed="false">
      <c r="A910" s="0" t="s">
        <v>1810</v>
      </c>
      <c r="B910" s="0" t="s">
        <v>1811</v>
      </c>
      <c r="C910" s="0" t="s">
        <v>529</v>
      </c>
      <c r="D910" s="0" t="s">
        <v>89</v>
      </c>
      <c r="E910" s="0" t="s">
        <v>495</v>
      </c>
      <c r="F910" s="0" t="s">
        <v>457</v>
      </c>
      <c r="G910" s="0" t="n">
        <v>1822204</v>
      </c>
      <c r="H910" s="0" t="n">
        <v>63586</v>
      </c>
      <c r="I910" s="0" t="n">
        <v>13016</v>
      </c>
      <c r="J910" s="0" t="n">
        <v>11.5</v>
      </c>
      <c r="K910" s="0" t="n">
        <v>22</v>
      </c>
      <c r="L910" s="0" t="n">
        <v>272</v>
      </c>
      <c r="M910" s="0" t="s">
        <v>35</v>
      </c>
      <c r="N910" s="0" t="s">
        <v>21</v>
      </c>
    </row>
    <row r="911" customFormat="false" ht="15" hidden="false" customHeight="false" outlineLevel="0" collapsed="false">
      <c r="A911" s="0" t="s">
        <v>1812</v>
      </c>
      <c r="B911" s="0" t="s">
        <v>592</v>
      </c>
      <c r="C911" s="0" t="s">
        <v>840</v>
      </c>
      <c r="D911" s="0" t="s">
        <v>109</v>
      </c>
      <c r="E911" s="0" t="s">
        <v>90</v>
      </c>
      <c r="F911" s="0" t="s">
        <v>47</v>
      </c>
      <c r="G911" s="0" t="n">
        <v>1279063</v>
      </c>
      <c r="H911" s="0" t="n">
        <v>34455</v>
      </c>
      <c r="I911" s="0" t="n">
        <v>10976</v>
      </c>
      <c r="J911" s="0" t="n">
        <v>10</v>
      </c>
      <c r="K911" s="0" t="n">
        <v>18</v>
      </c>
      <c r="L911" s="0" t="n">
        <v>169</v>
      </c>
      <c r="M911" s="0" t="s">
        <v>20</v>
      </c>
      <c r="N911" s="0" t="s">
        <v>42</v>
      </c>
    </row>
    <row r="912" customFormat="false" ht="15" hidden="false" customHeight="false" outlineLevel="0" collapsed="false">
      <c r="A912" s="0" t="s">
        <v>1813</v>
      </c>
      <c r="B912" s="0" t="s">
        <v>429</v>
      </c>
      <c r="C912" s="0" t="s">
        <v>567</v>
      </c>
      <c r="D912" s="0" t="s">
        <v>71</v>
      </c>
      <c r="E912" s="0" t="s">
        <v>390</v>
      </c>
      <c r="F912" s="0" t="s">
        <v>306</v>
      </c>
      <c r="G912" s="0" t="n">
        <v>1291397</v>
      </c>
      <c r="H912" s="0" t="n">
        <v>43267</v>
      </c>
      <c r="I912" s="0" t="n">
        <v>11997</v>
      </c>
      <c r="J912" s="0" t="n">
        <v>45.3</v>
      </c>
      <c r="K912" s="0" t="n">
        <v>11</v>
      </c>
      <c r="L912" s="0" t="n">
        <v>496</v>
      </c>
      <c r="M912" s="0" t="s">
        <v>35</v>
      </c>
      <c r="N912" s="0" t="s">
        <v>67</v>
      </c>
    </row>
    <row r="913" customFormat="false" ht="15" hidden="false" customHeight="false" outlineLevel="0" collapsed="false">
      <c r="A913" s="0" t="s">
        <v>1814</v>
      </c>
      <c r="B913" s="0" t="s">
        <v>337</v>
      </c>
      <c r="C913" s="0" t="s">
        <v>375</v>
      </c>
      <c r="D913" s="0" t="s">
        <v>78</v>
      </c>
      <c r="E913" s="0" t="s">
        <v>586</v>
      </c>
      <c r="F913" s="0" t="s">
        <v>238</v>
      </c>
      <c r="G913" s="0" t="n">
        <v>2235248</v>
      </c>
      <c r="H913" s="0" t="n">
        <v>73124</v>
      </c>
      <c r="I913" s="0" t="n">
        <v>20919</v>
      </c>
      <c r="J913" s="0" t="n">
        <v>14.8</v>
      </c>
      <c r="K913" s="0" t="n">
        <v>21</v>
      </c>
      <c r="L913" s="0" t="n">
        <v>259</v>
      </c>
      <c r="M913" s="0" t="s">
        <v>20</v>
      </c>
      <c r="N913" s="0" t="s">
        <v>74</v>
      </c>
    </row>
    <row r="914" customFormat="false" ht="15" hidden="false" customHeight="false" outlineLevel="0" collapsed="false">
      <c r="A914" s="0" t="s">
        <v>1815</v>
      </c>
      <c r="B914" s="0" t="s">
        <v>1058</v>
      </c>
      <c r="C914" s="0" t="s">
        <v>532</v>
      </c>
      <c r="D914" s="0" t="s">
        <v>46</v>
      </c>
      <c r="E914" s="0" t="s">
        <v>106</v>
      </c>
      <c r="F914" s="0" t="s">
        <v>26</v>
      </c>
      <c r="G914" s="0" t="n">
        <v>2566645</v>
      </c>
      <c r="H914" s="0" t="n">
        <v>67011</v>
      </c>
      <c r="I914" s="0" t="n">
        <v>19292</v>
      </c>
      <c r="J914" s="0" t="n">
        <v>45</v>
      </c>
      <c r="K914" s="0" t="n">
        <v>20</v>
      </c>
      <c r="L914" s="0" t="n">
        <v>153</v>
      </c>
      <c r="M914" s="0" t="s">
        <v>54</v>
      </c>
      <c r="N914" s="0" t="s">
        <v>21</v>
      </c>
    </row>
    <row r="915" customFormat="false" ht="15" hidden="false" customHeight="false" outlineLevel="0" collapsed="false">
      <c r="A915" s="0" t="s">
        <v>1816</v>
      </c>
      <c r="B915" s="0" t="s">
        <v>1817</v>
      </c>
      <c r="C915" s="0" t="s">
        <v>899</v>
      </c>
      <c r="D915" s="0" t="s">
        <v>144</v>
      </c>
      <c r="E915" s="0" t="s">
        <v>346</v>
      </c>
      <c r="F915" s="0" t="s">
        <v>53</v>
      </c>
      <c r="G915" s="0" t="n">
        <v>2443518</v>
      </c>
      <c r="H915" s="0" t="n">
        <v>63091</v>
      </c>
      <c r="I915" s="0" t="n">
        <v>13917</v>
      </c>
      <c r="J915" s="0" t="n">
        <v>56</v>
      </c>
      <c r="K915" s="0" t="n">
        <v>11</v>
      </c>
      <c r="L915" s="0" t="n">
        <v>715</v>
      </c>
      <c r="M915" s="0" t="s">
        <v>35</v>
      </c>
      <c r="N915" s="0" t="s">
        <v>140</v>
      </c>
    </row>
    <row r="916" customFormat="false" ht="15" hidden="false" customHeight="false" outlineLevel="0" collapsed="false">
      <c r="A916" s="0" t="s">
        <v>1818</v>
      </c>
      <c r="B916" s="0" t="s">
        <v>1819</v>
      </c>
      <c r="C916" s="0" t="s">
        <v>1056</v>
      </c>
      <c r="D916" s="0" t="s">
        <v>39</v>
      </c>
      <c r="E916" s="0" t="s">
        <v>60</v>
      </c>
      <c r="F916" s="0" t="s">
        <v>273</v>
      </c>
      <c r="G916" s="0" t="n">
        <v>2807408</v>
      </c>
      <c r="H916" s="0" t="n">
        <v>108990</v>
      </c>
      <c r="I916" s="0" t="n">
        <v>26294</v>
      </c>
      <c r="J916" s="0" t="n">
        <v>58.1</v>
      </c>
      <c r="K916" s="0" t="n">
        <v>15</v>
      </c>
      <c r="L916" s="0" t="n">
        <v>427</v>
      </c>
      <c r="M916" s="0" t="s">
        <v>54</v>
      </c>
      <c r="N916" s="0" t="s">
        <v>102</v>
      </c>
    </row>
    <row r="917" customFormat="false" ht="15" hidden="false" customHeight="false" outlineLevel="0" collapsed="false">
      <c r="A917" s="0" t="s">
        <v>1820</v>
      </c>
      <c r="B917" s="0" t="s">
        <v>1821</v>
      </c>
      <c r="C917" s="0" t="s">
        <v>196</v>
      </c>
      <c r="D917" s="0" t="s">
        <v>78</v>
      </c>
      <c r="E917" s="0" t="s">
        <v>158</v>
      </c>
      <c r="F917" s="0" t="s">
        <v>164</v>
      </c>
      <c r="G917" s="0" t="n">
        <v>3342503</v>
      </c>
      <c r="H917" s="0" t="n">
        <v>149175</v>
      </c>
      <c r="I917" s="0" t="n">
        <v>43916</v>
      </c>
      <c r="J917" s="0" t="n">
        <v>17.1</v>
      </c>
      <c r="K917" s="0" t="n">
        <v>25</v>
      </c>
      <c r="L917" s="0" t="n">
        <v>565</v>
      </c>
      <c r="M917" s="0" t="s">
        <v>54</v>
      </c>
      <c r="N917" s="0" t="s">
        <v>169</v>
      </c>
    </row>
    <row r="918" customFormat="false" ht="15" hidden="false" customHeight="false" outlineLevel="0" collapsed="false">
      <c r="A918" s="0" t="s">
        <v>1822</v>
      </c>
      <c r="B918" s="0" t="s">
        <v>1823</v>
      </c>
      <c r="C918" s="0" t="s">
        <v>483</v>
      </c>
      <c r="D918" s="0" t="s">
        <v>59</v>
      </c>
      <c r="E918" s="0" t="s">
        <v>116</v>
      </c>
      <c r="F918" s="0" t="s">
        <v>248</v>
      </c>
      <c r="G918" s="0" t="n">
        <v>3751352</v>
      </c>
      <c r="H918" s="0" t="n">
        <v>129290</v>
      </c>
      <c r="I918" s="0" t="n">
        <v>43009</v>
      </c>
      <c r="J918" s="0" t="n">
        <v>55.1</v>
      </c>
      <c r="K918" s="0" t="n">
        <v>12</v>
      </c>
      <c r="L918" s="0" t="n">
        <v>399</v>
      </c>
      <c r="M918" s="0" t="s">
        <v>20</v>
      </c>
      <c r="N918" s="0" t="s">
        <v>96</v>
      </c>
    </row>
    <row r="919" customFormat="false" ht="15" hidden="false" customHeight="false" outlineLevel="0" collapsed="false">
      <c r="A919" s="0" t="s">
        <v>1824</v>
      </c>
      <c r="B919" s="0" t="s">
        <v>1825</v>
      </c>
      <c r="C919" s="0" t="s">
        <v>1020</v>
      </c>
      <c r="D919" s="0" t="s">
        <v>25</v>
      </c>
      <c r="E919" s="0" t="s">
        <v>959</v>
      </c>
      <c r="F919" s="0" t="s">
        <v>340</v>
      </c>
      <c r="G919" s="0" t="n">
        <v>2019387</v>
      </c>
      <c r="H919" s="0" t="n">
        <v>62557</v>
      </c>
      <c r="I919" s="0" t="n">
        <v>20058</v>
      </c>
      <c r="J919" s="0" t="n">
        <v>44.5</v>
      </c>
      <c r="K919" s="0" t="n">
        <v>21</v>
      </c>
      <c r="L919" s="0" t="n">
        <v>735</v>
      </c>
      <c r="M919" s="0" t="s">
        <v>20</v>
      </c>
      <c r="N919" s="0" t="s">
        <v>81</v>
      </c>
    </row>
    <row r="920" customFormat="false" ht="15" hidden="false" customHeight="false" outlineLevel="0" collapsed="false">
      <c r="A920" s="0" t="s">
        <v>1826</v>
      </c>
      <c r="B920" s="0" t="s">
        <v>1160</v>
      </c>
      <c r="C920" s="0" t="s">
        <v>456</v>
      </c>
      <c r="D920" s="0" t="s">
        <v>71</v>
      </c>
      <c r="E920" s="0" t="s">
        <v>33</v>
      </c>
      <c r="F920" s="0" t="s">
        <v>73</v>
      </c>
      <c r="G920" s="0" t="n">
        <v>1415435</v>
      </c>
      <c r="H920" s="0" t="n">
        <v>34732</v>
      </c>
      <c r="I920" s="0" t="n">
        <v>8339</v>
      </c>
      <c r="J920" s="0" t="n">
        <v>37.2</v>
      </c>
      <c r="K920" s="0" t="n">
        <v>12</v>
      </c>
      <c r="L920" s="0" t="n">
        <v>383</v>
      </c>
      <c r="M920" s="0" t="s">
        <v>20</v>
      </c>
      <c r="N920" s="0" t="s">
        <v>42</v>
      </c>
    </row>
    <row r="921" customFormat="false" ht="15" hidden="false" customHeight="false" outlineLevel="0" collapsed="false">
      <c r="A921" s="0" t="s">
        <v>1827</v>
      </c>
      <c r="B921" s="0" t="s">
        <v>1823</v>
      </c>
      <c r="C921" s="0" t="s">
        <v>417</v>
      </c>
      <c r="D921" s="0" t="s">
        <v>59</v>
      </c>
      <c r="E921" s="0" t="s">
        <v>233</v>
      </c>
      <c r="F921" s="0" t="s">
        <v>101</v>
      </c>
      <c r="G921" s="0" t="n">
        <v>4074858</v>
      </c>
      <c r="H921" s="0" t="n">
        <v>211663</v>
      </c>
      <c r="I921" s="0" t="n">
        <v>58573</v>
      </c>
      <c r="J921" s="0" t="n">
        <v>32.9</v>
      </c>
      <c r="K921" s="0" t="n">
        <v>23</v>
      </c>
      <c r="L921" s="0" t="n">
        <v>795</v>
      </c>
      <c r="M921" s="0" t="s">
        <v>20</v>
      </c>
      <c r="N921" s="0" t="s">
        <v>42</v>
      </c>
    </row>
    <row r="922" customFormat="false" ht="15" hidden="false" customHeight="false" outlineLevel="0" collapsed="false">
      <c r="A922" s="0" t="s">
        <v>1828</v>
      </c>
      <c r="B922" s="0" t="s">
        <v>297</v>
      </c>
      <c r="C922" s="0" t="s">
        <v>45</v>
      </c>
      <c r="D922" s="0" t="s">
        <v>46</v>
      </c>
      <c r="E922" s="0" t="s">
        <v>666</v>
      </c>
      <c r="F922" s="0" t="s">
        <v>182</v>
      </c>
      <c r="G922" s="0" t="n">
        <v>1999790</v>
      </c>
      <c r="H922" s="0" t="n">
        <v>68218</v>
      </c>
      <c r="I922" s="0" t="n">
        <v>20648</v>
      </c>
      <c r="J922" s="0" t="n">
        <v>57.2</v>
      </c>
      <c r="K922" s="0" t="n">
        <v>14</v>
      </c>
      <c r="L922" s="0" t="n">
        <v>444</v>
      </c>
      <c r="M922" s="0" t="s">
        <v>54</v>
      </c>
      <c r="N922" s="0" t="s">
        <v>28</v>
      </c>
    </row>
    <row r="923" customFormat="false" ht="15" hidden="false" customHeight="false" outlineLevel="0" collapsed="false">
      <c r="A923" s="0" t="s">
        <v>1829</v>
      </c>
      <c r="B923" s="0" t="s">
        <v>515</v>
      </c>
      <c r="C923" s="0" t="s">
        <v>701</v>
      </c>
      <c r="D923" s="0" t="s">
        <v>65</v>
      </c>
      <c r="E923" s="0" t="s">
        <v>959</v>
      </c>
      <c r="F923" s="0" t="s">
        <v>262</v>
      </c>
      <c r="G923" s="0" t="n">
        <v>1446206</v>
      </c>
      <c r="H923" s="0" t="n">
        <v>51891</v>
      </c>
      <c r="I923" s="0" t="n">
        <v>14445</v>
      </c>
      <c r="J923" s="0" t="n">
        <v>25.6</v>
      </c>
      <c r="K923" s="0" t="n">
        <v>25</v>
      </c>
      <c r="L923" s="0" t="n">
        <v>795</v>
      </c>
      <c r="M923" s="0" t="s">
        <v>54</v>
      </c>
      <c r="N923" s="0" t="s">
        <v>96</v>
      </c>
    </row>
    <row r="924" customFormat="false" ht="15" hidden="false" customHeight="false" outlineLevel="0" collapsed="false">
      <c r="A924" s="0" t="s">
        <v>1830</v>
      </c>
      <c r="B924" s="0" t="s">
        <v>1831</v>
      </c>
      <c r="C924" s="0" t="s">
        <v>1142</v>
      </c>
      <c r="D924" s="0" t="s">
        <v>39</v>
      </c>
      <c r="E924" s="0" t="s">
        <v>204</v>
      </c>
      <c r="F924" s="0" t="s">
        <v>574</v>
      </c>
      <c r="G924" s="0" t="n">
        <v>2541412</v>
      </c>
      <c r="H924" s="0" t="n">
        <v>91870</v>
      </c>
      <c r="I924" s="0" t="n">
        <v>29973</v>
      </c>
      <c r="J924" s="0" t="n">
        <v>14.8</v>
      </c>
      <c r="K924" s="0" t="n">
        <v>15</v>
      </c>
      <c r="L924" s="0" t="n">
        <v>257</v>
      </c>
      <c r="M924" s="0" t="s">
        <v>20</v>
      </c>
      <c r="N924" s="0" t="s">
        <v>169</v>
      </c>
    </row>
    <row r="925" customFormat="false" ht="15" hidden="false" customHeight="false" outlineLevel="0" collapsed="false">
      <c r="A925" s="0" t="s">
        <v>1832</v>
      </c>
      <c r="B925" s="0" t="s">
        <v>894</v>
      </c>
      <c r="C925" s="0" t="s">
        <v>64</v>
      </c>
      <c r="D925" s="0" t="s">
        <v>25</v>
      </c>
      <c r="E925" s="0" t="s">
        <v>586</v>
      </c>
      <c r="F925" s="0" t="s">
        <v>238</v>
      </c>
      <c r="G925" s="0" t="n">
        <v>2213663</v>
      </c>
      <c r="H925" s="0" t="n">
        <v>77061</v>
      </c>
      <c r="I925" s="0" t="n">
        <v>21638</v>
      </c>
      <c r="J925" s="0" t="n">
        <v>16.4</v>
      </c>
      <c r="K925" s="0" t="n">
        <v>15</v>
      </c>
      <c r="L925" s="0" t="n">
        <v>583</v>
      </c>
      <c r="M925" s="0" t="s">
        <v>20</v>
      </c>
      <c r="N925" s="0" t="s">
        <v>21</v>
      </c>
    </row>
    <row r="926" customFormat="false" ht="15" hidden="false" customHeight="false" outlineLevel="0" collapsed="false">
      <c r="A926" s="0" t="s">
        <v>1833</v>
      </c>
      <c r="B926" s="0" t="s">
        <v>259</v>
      </c>
      <c r="C926" s="0" t="s">
        <v>212</v>
      </c>
      <c r="D926" s="0" t="s">
        <v>89</v>
      </c>
      <c r="E926" s="0" t="s">
        <v>305</v>
      </c>
      <c r="F926" s="0" t="s">
        <v>116</v>
      </c>
      <c r="G926" s="0" t="n">
        <v>1859620</v>
      </c>
      <c r="H926" s="0" t="n">
        <v>44786</v>
      </c>
      <c r="I926" s="0" t="n">
        <v>12776</v>
      </c>
      <c r="J926" s="0" t="n">
        <v>41</v>
      </c>
      <c r="K926" s="0" t="n">
        <v>23</v>
      </c>
      <c r="L926" s="0" t="n">
        <v>651</v>
      </c>
      <c r="M926" s="0" t="s">
        <v>54</v>
      </c>
      <c r="N926" s="0" t="s">
        <v>67</v>
      </c>
    </row>
    <row r="927" customFormat="false" ht="15" hidden="false" customHeight="false" outlineLevel="0" collapsed="false">
      <c r="A927" s="0" t="s">
        <v>1834</v>
      </c>
      <c r="B927" s="0" t="s">
        <v>877</v>
      </c>
      <c r="C927" s="0" t="s">
        <v>986</v>
      </c>
      <c r="D927" s="0" t="s">
        <v>71</v>
      </c>
      <c r="E927" s="0" t="s">
        <v>182</v>
      </c>
      <c r="F927" s="0" t="s">
        <v>284</v>
      </c>
      <c r="G927" s="0" t="n">
        <v>1275610</v>
      </c>
      <c r="H927" s="0" t="n">
        <v>31633</v>
      </c>
      <c r="I927" s="0" t="n">
        <v>9722</v>
      </c>
      <c r="J927" s="0" t="n">
        <v>37</v>
      </c>
      <c r="K927" s="0" t="n">
        <v>6</v>
      </c>
      <c r="L927" s="0" t="n">
        <v>392</v>
      </c>
      <c r="M927" s="0" t="s">
        <v>20</v>
      </c>
      <c r="N927" s="0" t="s">
        <v>122</v>
      </c>
    </row>
    <row r="928" customFormat="false" ht="15" hidden="false" customHeight="false" outlineLevel="0" collapsed="false">
      <c r="A928" s="0" t="s">
        <v>1835</v>
      </c>
      <c r="B928" s="0" t="s">
        <v>1836</v>
      </c>
      <c r="C928" s="0" t="s">
        <v>332</v>
      </c>
      <c r="D928" s="0" t="s">
        <v>25</v>
      </c>
      <c r="E928" s="0" t="s">
        <v>666</v>
      </c>
      <c r="F928" s="0" t="s">
        <v>182</v>
      </c>
      <c r="G928" s="0" t="n">
        <v>1608533</v>
      </c>
      <c r="H928" s="0" t="n">
        <v>54880</v>
      </c>
      <c r="I928" s="0" t="n">
        <v>18459</v>
      </c>
      <c r="J928" s="0" t="n">
        <v>56.8</v>
      </c>
      <c r="K928" s="0" t="n">
        <v>17</v>
      </c>
      <c r="L928" s="0" t="n">
        <v>429</v>
      </c>
      <c r="M928" s="0" t="s">
        <v>35</v>
      </c>
      <c r="N928" s="0" t="s">
        <v>122</v>
      </c>
    </row>
    <row r="929" customFormat="false" ht="15" hidden="false" customHeight="false" outlineLevel="0" collapsed="false">
      <c r="A929" s="0" t="s">
        <v>1837</v>
      </c>
      <c r="B929" s="0" t="s">
        <v>1702</v>
      </c>
      <c r="C929" s="0" t="s">
        <v>1739</v>
      </c>
      <c r="D929" s="0" t="s">
        <v>32</v>
      </c>
      <c r="E929" s="0" t="s">
        <v>346</v>
      </c>
      <c r="F929" s="0" t="s">
        <v>574</v>
      </c>
      <c r="G929" s="0" t="n">
        <v>5988338</v>
      </c>
      <c r="H929" s="0" t="n">
        <v>233574</v>
      </c>
      <c r="I929" s="0" t="n">
        <v>65124</v>
      </c>
      <c r="J929" s="0" t="n">
        <v>38.7</v>
      </c>
      <c r="K929" s="0" t="n">
        <v>10</v>
      </c>
      <c r="L929" s="0" t="n">
        <v>317</v>
      </c>
      <c r="M929" s="0" t="s">
        <v>20</v>
      </c>
      <c r="N929" s="0" t="s">
        <v>55</v>
      </c>
    </row>
    <row r="930" customFormat="false" ht="15" hidden="false" customHeight="false" outlineLevel="0" collapsed="false">
      <c r="A930" s="0" t="s">
        <v>1838</v>
      </c>
      <c r="B930" s="0" t="s">
        <v>831</v>
      </c>
      <c r="C930" s="0" t="s">
        <v>360</v>
      </c>
      <c r="D930" s="0" t="s">
        <v>144</v>
      </c>
      <c r="E930" s="0" t="s">
        <v>288</v>
      </c>
      <c r="F930" s="0" t="s">
        <v>177</v>
      </c>
      <c r="G930" s="0" t="n">
        <v>2567273</v>
      </c>
      <c r="H930" s="0" t="n">
        <v>67182</v>
      </c>
      <c r="I930" s="0" t="n">
        <v>21188</v>
      </c>
      <c r="J930" s="0" t="n">
        <v>22.4</v>
      </c>
      <c r="K930" s="0" t="n">
        <v>15</v>
      </c>
      <c r="L930" s="0" t="n">
        <v>203</v>
      </c>
      <c r="M930" s="0" t="s">
        <v>20</v>
      </c>
      <c r="N930" s="0" t="s">
        <v>42</v>
      </c>
    </row>
    <row r="931" customFormat="false" ht="15" hidden="false" customHeight="false" outlineLevel="0" collapsed="false">
      <c r="A931" s="0" t="s">
        <v>1839</v>
      </c>
      <c r="B931" s="0" t="s">
        <v>395</v>
      </c>
      <c r="C931" s="0" t="s">
        <v>185</v>
      </c>
      <c r="D931" s="0" t="s">
        <v>17</v>
      </c>
      <c r="E931" s="0" t="s">
        <v>422</v>
      </c>
      <c r="F931" s="0" t="s">
        <v>407</v>
      </c>
      <c r="G931" s="0" t="n">
        <v>1452226</v>
      </c>
      <c r="H931" s="0" t="n">
        <v>43967</v>
      </c>
      <c r="I931" s="0" t="n">
        <v>12608</v>
      </c>
      <c r="J931" s="0" t="n">
        <v>43.2</v>
      </c>
      <c r="K931" s="0" t="n">
        <v>9</v>
      </c>
      <c r="L931" s="0" t="n">
        <v>582</v>
      </c>
      <c r="M931" s="0" t="s">
        <v>35</v>
      </c>
      <c r="N931" s="0" t="s">
        <v>67</v>
      </c>
    </row>
    <row r="932" customFormat="false" ht="15" hidden="false" customHeight="false" outlineLevel="0" collapsed="false">
      <c r="A932" s="0" t="s">
        <v>1840</v>
      </c>
      <c r="B932" s="0" t="s">
        <v>1841</v>
      </c>
      <c r="C932" s="0" t="s">
        <v>392</v>
      </c>
      <c r="D932" s="0" t="s">
        <v>89</v>
      </c>
      <c r="E932" s="0" t="s">
        <v>60</v>
      </c>
      <c r="F932" s="0" t="s">
        <v>61</v>
      </c>
      <c r="G932" s="0" t="n">
        <v>1970396</v>
      </c>
      <c r="H932" s="0" t="n">
        <v>48879</v>
      </c>
      <c r="I932" s="0" t="n">
        <v>10761</v>
      </c>
      <c r="J932" s="0" t="n">
        <v>41</v>
      </c>
      <c r="K932" s="0" t="n">
        <v>13</v>
      </c>
      <c r="L932" s="0" t="n">
        <v>389</v>
      </c>
      <c r="M932" s="0" t="s">
        <v>54</v>
      </c>
      <c r="N932" s="0" t="s">
        <v>21</v>
      </c>
    </row>
    <row r="933" customFormat="false" ht="15" hidden="false" customHeight="false" outlineLevel="0" collapsed="false">
      <c r="A933" s="0" t="s">
        <v>1842</v>
      </c>
      <c r="B933" s="0" t="s">
        <v>297</v>
      </c>
      <c r="C933" s="0" t="s">
        <v>175</v>
      </c>
      <c r="D933" s="0" t="s">
        <v>17</v>
      </c>
      <c r="E933" s="0" t="s">
        <v>306</v>
      </c>
      <c r="F933" s="0" t="s">
        <v>158</v>
      </c>
      <c r="G933" s="0" t="n">
        <v>2723504</v>
      </c>
      <c r="H933" s="0" t="n">
        <v>58828</v>
      </c>
      <c r="I933" s="0" t="n">
        <v>22953</v>
      </c>
      <c r="J933" s="0" t="n">
        <v>6.1</v>
      </c>
      <c r="K933" s="0" t="n">
        <v>6</v>
      </c>
      <c r="L933" s="0" t="n">
        <v>584</v>
      </c>
      <c r="M933" s="0" t="s">
        <v>35</v>
      </c>
      <c r="N933" s="0" t="s">
        <v>21</v>
      </c>
    </row>
    <row r="934" customFormat="false" ht="15" hidden="false" customHeight="false" outlineLevel="0" collapsed="false">
      <c r="A934" s="0" t="s">
        <v>1843</v>
      </c>
      <c r="B934" s="0" t="s">
        <v>1432</v>
      </c>
      <c r="C934" s="0" t="s">
        <v>902</v>
      </c>
      <c r="D934" s="0" t="s">
        <v>32</v>
      </c>
      <c r="E934" s="0" t="s">
        <v>176</v>
      </c>
      <c r="F934" s="0" t="s">
        <v>284</v>
      </c>
      <c r="G934" s="0" t="n">
        <v>6605355</v>
      </c>
      <c r="H934" s="0" t="n">
        <v>222867</v>
      </c>
      <c r="I934" s="0" t="n">
        <v>54330</v>
      </c>
      <c r="J934" s="0" t="n">
        <v>9.3</v>
      </c>
      <c r="K934" s="0" t="n">
        <v>11</v>
      </c>
      <c r="L934" s="0" t="n">
        <v>407</v>
      </c>
      <c r="M934" s="0" t="s">
        <v>54</v>
      </c>
      <c r="N934" s="0" t="s">
        <v>74</v>
      </c>
    </row>
    <row r="935" customFormat="false" ht="15" hidden="false" customHeight="false" outlineLevel="0" collapsed="false">
      <c r="A935" s="0" t="s">
        <v>1844</v>
      </c>
      <c r="B935" s="0" t="s">
        <v>250</v>
      </c>
      <c r="C935" s="0" t="s">
        <v>827</v>
      </c>
      <c r="D935" s="0" t="s">
        <v>39</v>
      </c>
      <c r="E935" s="0" t="s">
        <v>393</v>
      </c>
      <c r="F935" s="0" t="s">
        <v>451</v>
      </c>
      <c r="G935" s="0" t="n">
        <v>3316259</v>
      </c>
      <c r="H935" s="0" t="n">
        <v>127654</v>
      </c>
      <c r="I935" s="0" t="n">
        <v>35244</v>
      </c>
      <c r="J935" s="0" t="n">
        <v>57.7</v>
      </c>
      <c r="K935" s="0" t="n">
        <v>5</v>
      </c>
      <c r="L935" s="0" t="n">
        <v>350</v>
      </c>
      <c r="M935" s="0" t="s">
        <v>20</v>
      </c>
      <c r="N935" s="0" t="s">
        <v>81</v>
      </c>
    </row>
    <row r="936" customFormat="false" ht="15" hidden="false" customHeight="false" outlineLevel="0" collapsed="false">
      <c r="A936" s="0" t="s">
        <v>1845</v>
      </c>
      <c r="B936" s="0" t="s">
        <v>1182</v>
      </c>
      <c r="C936" s="0" t="s">
        <v>486</v>
      </c>
      <c r="D936" s="0" t="s">
        <v>17</v>
      </c>
      <c r="E936" s="0" t="s">
        <v>106</v>
      </c>
      <c r="F936" s="0" t="s">
        <v>418</v>
      </c>
      <c r="G936" s="0" t="n">
        <v>2085688</v>
      </c>
      <c r="H936" s="0" t="n">
        <v>57647</v>
      </c>
      <c r="I936" s="0" t="n">
        <v>15905</v>
      </c>
      <c r="J936" s="0" t="n">
        <v>55.8</v>
      </c>
      <c r="K936" s="0" t="n">
        <v>6</v>
      </c>
      <c r="L936" s="0" t="n">
        <v>326</v>
      </c>
      <c r="M936" s="0" t="s">
        <v>35</v>
      </c>
      <c r="N936" s="0" t="s">
        <v>21</v>
      </c>
    </row>
    <row r="937" customFormat="false" ht="15" hidden="false" customHeight="false" outlineLevel="0" collapsed="false">
      <c r="A937" s="0" t="s">
        <v>1846</v>
      </c>
      <c r="B937" s="0" t="s">
        <v>1847</v>
      </c>
      <c r="C937" s="0" t="s">
        <v>309</v>
      </c>
      <c r="D937" s="0" t="s">
        <v>17</v>
      </c>
      <c r="E937" s="0" t="s">
        <v>116</v>
      </c>
      <c r="F937" s="0" t="s">
        <v>552</v>
      </c>
      <c r="G937" s="0" t="n">
        <v>1529823</v>
      </c>
      <c r="H937" s="0" t="n">
        <v>34816</v>
      </c>
      <c r="I937" s="0" t="n">
        <v>12588</v>
      </c>
      <c r="J937" s="0" t="n">
        <v>20.1</v>
      </c>
      <c r="K937" s="0" t="n">
        <v>8</v>
      </c>
      <c r="L937" s="0" t="n">
        <v>712</v>
      </c>
      <c r="M937" s="0" t="s">
        <v>20</v>
      </c>
      <c r="N937" s="0" t="s">
        <v>81</v>
      </c>
    </row>
    <row r="938" customFormat="false" ht="15" hidden="false" customHeight="false" outlineLevel="0" collapsed="false">
      <c r="A938" s="0" t="s">
        <v>1848</v>
      </c>
      <c r="B938" s="0" t="s">
        <v>1228</v>
      </c>
      <c r="C938" s="0" t="s">
        <v>332</v>
      </c>
      <c r="D938" s="0" t="s">
        <v>39</v>
      </c>
      <c r="E938" s="0" t="s">
        <v>224</v>
      </c>
      <c r="F938" s="0" t="s">
        <v>280</v>
      </c>
      <c r="G938" s="0" t="n">
        <v>1928141</v>
      </c>
      <c r="H938" s="0" t="n">
        <v>80975</v>
      </c>
      <c r="I938" s="0" t="n">
        <v>27872</v>
      </c>
      <c r="J938" s="0" t="n">
        <v>9.3</v>
      </c>
      <c r="K938" s="0" t="n">
        <v>17</v>
      </c>
      <c r="L938" s="0" t="n">
        <v>522</v>
      </c>
      <c r="M938" s="0" t="s">
        <v>35</v>
      </c>
      <c r="N938" s="0" t="s">
        <v>169</v>
      </c>
    </row>
    <row r="939" customFormat="false" ht="15" hidden="false" customHeight="false" outlineLevel="0" collapsed="false">
      <c r="A939" s="0" t="s">
        <v>1849</v>
      </c>
      <c r="B939" s="0" t="s">
        <v>1216</v>
      </c>
      <c r="C939" s="0" t="s">
        <v>212</v>
      </c>
      <c r="D939" s="0" t="s">
        <v>65</v>
      </c>
      <c r="E939" s="0" t="s">
        <v>139</v>
      </c>
      <c r="F939" s="0" t="s">
        <v>153</v>
      </c>
      <c r="G939" s="0" t="n">
        <v>1599770</v>
      </c>
      <c r="H939" s="0" t="n">
        <v>35214</v>
      </c>
      <c r="I939" s="0" t="n">
        <v>9338</v>
      </c>
      <c r="J939" s="0" t="n">
        <v>8.8</v>
      </c>
      <c r="K939" s="0" t="n">
        <v>6</v>
      </c>
      <c r="L939" s="0" t="n">
        <v>545</v>
      </c>
      <c r="M939" s="0" t="s">
        <v>54</v>
      </c>
      <c r="N939" s="0" t="s">
        <v>81</v>
      </c>
    </row>
    <row r="940" customFormat="false" ht="15" hidden="false" customHeight="false" outlineLevel="0" collapsed="false">
      <c r="A940" s="0" t="s">
        <v>1850</v>
      </c>
      <c r="B940" s="0" t="s">
        <v>1406</v>
      </c>
      <c r="C940" s="0" t="s">
        <v>167</v>
      </c>
      <c r="D940" s="0" t="s">
        <v>71</v>
      </c>
      <c r="E940" s="0" t="s">
        <v>335</v>
      </c>
      <c r="F940" s="0" t="s">
        <v>198</v>
      </c>
      <c r="G940" s="0" t="n">
        <v>1745658</v>
      </c>
      <c r="H940" s="0" t="n">
        <v>46140</v>
      </c>
      <c r="I940" s="0" t="n">
        <v>16993</v>
      </c>
      <c r="J940" s="0" t="n">
        <v>4.4</v>
      </c>
      <c r="K940" s="0" t="n">
        <v>24</v>
      </c>
      <c r="L940" s="0" t="n">
        <v>402</v>
      </c>
      <c r="M940" s="0" t="s">
        <v>54</v>
      </c>
      <c r="N940" s="0" t="s">
        <v>67</v>
      </c>
    </row>
    <row r="941" customFormat="false" ht="15" hidden="false" customHeight="false" outlineLevel="0" collapsed="false">
      <c r="A941" s="0" t="s">
        <v>1851</v>
      </c>
      <c r="B941" s="0" t="s">
        <v>677</v>
      </c>
      <c r="C941" s="0" t="s">
        <v>192</v>
      </c>
      <c r="D941" s="0" t="s">
        <v>39</v>
      </c>
      <c r="E941" s="0" t="s">
        <v>94</v>
      </c>
      <c r="F941" s="0" t="s">
        <v>41</v>
      </c>
      <c r="G941" s="0" t="n">
        <v>3190419</v>
      </c>
      <c r="H941" s="0" t="n">
        <v>122072</v>
      </c>
      <c r="I941" s="0" t="n">
        <v>32384</v>
      </c>
      <c r="J941" s="0" t="n">
        <v>14.2</v>
      </c>
      <c r="K941" s="0" t="n">
        <v>22</v>
      </c>
      <c r="L941" s="0" t="n">
        <v>179</v>
      </c>
      <c r="M941" s="0" t="s">
        <v>35</v>
      </c>
      <c r="N941" s="0" t="s">
        <v>81</v>
      </c>
    </row>
    <row r="942" customFormat="false" ht="15" hidden="false" customHeight="false" outlineLevel="0" collapsed="false">
      <c r="A942" s="0" t="s">
        <v>1852</v>
      </c>
      <c r="B942" s="0" t="s">
        <v>861</v>
      </c>
      <c r="C942" s="0" t="s">
        <v>196</v>
      </c>
      <c r="D942" s="0" t="s">
        <v>32</v>
      </c>
      <c r="E942" s="0" t="s">
        <v>457</v>
      </c>
      <c r="F942" s="0" t="s">
        <v>145</v>
      </c>
      <c r="G942" s="0" t="n">
        <v>2955765</v>
      </c>
      <c r="H942" s="0" t="n">
        <v>103647</v>
      </c>
      <c r="I942" s="0" t="n">
        <v>38329</v>
      </c>
      <c r="J942" s="0" t="n">
        <v>47.1</v>
      </c>
      <c r="K942" s="0" t="n">
        <v>24</v>
      </c>
      <c r="L942" s="0" t="n">
        <v>316</v>
      </c>
      <c r="M942" s="0" t="s">
        <v>54</v>
      </c>
      <c r="N942" s="0" t="s">
        <v>96</v>
      </c>
    </row>
    <row r="943" customFormat="false" ht="15" hidden="false" customHeight="false" outlineLevel="0" collapsed="false">
      <c r="A943" s="0" t="s">
        <v>1853</v>
      </c>
      <c r="B943" s="0" t="s">
        <v>1424</v>
      </c>
      <c r="C943" s="0" t="s">
        <v>1063</v>
      </c>
      <c r="D943" s="0" t="s">
        <v>144</v>
      </c>
      <c r="E943" s="0" t="s">
        <v>237</v>
      </c>
      <c r="F943" s="0" t="s">
        <v>305</v>
      </c>
      <c r="G943" s="0" t="n">
        <v>2595265</v>
      </c>
      <c r="H943" s="0" t="n">
        <v>54247</v>
      </c>
      <c r="I943" s="0" t="n">
        <v>14761</v>
      </c>
      <c r="J943" s="0" t="n">
        <v>29.5</v>
      </c>
      <c r="K943" s="0" t="n">
        <v>21</v>
      </c>
      <c r="L943" s="0" t="n">
        <v>707</v>
      </c>
      <c r="M943" s="0" t="s">
        <v>20</v>
      </c>
      <c r="N943" s="0" t="s">
        <v>81</v>
      </c>
    </row>
    <row r="944" customFormat="false" ht="15" hidden="false" customHeight="false" outlineLevel="0" collapsed="false">
      <c r="A944" s="0" t="s">
        <v>1854</v>
      </c>
      <c r="B944" s="0" t="s">
        <v>1855</v>
      </c>
      <c r="C944" s="0" t="s">
        <v>175</v>
      </c>
      <c r="D944" s="0" t="s">
        <v>59</v>
      </c>
      <c r="E944" s="0" t="s">
        <v>346</v>
      </c>
      <c r="F944" s="0" t="s">
        <v>53</v>
      </c>
      <c r="G944" s="0" t="n">
        <v>1783053</v>
      </c>
      <c r="H944" s="0" t="n">
        <v>64584</v>
      </c>
      <c r="I944" s="0" t="n">
        <v>22399</v>
      </c>
      <c r="J944" s="0" t="n">
        <v>18.7</v>
      </c>
      <c r="K944" s="0" t="n">
        <v>7</v>
      </c>
      <c r="L944" s="0" t="n">
        <v>523</v>
      </c>
      <c r="M944" s="0" t="s">
        <v>35</v>
      </c>
      <c r="N944" s="0" t="s">
        <v>122</v>
      </c>
    </row>
    <row r="945" customFormat="false" ht="15" hidden="false" customHeight="false" outlineLevel="0" collapsed="false">
      <c r="A945" s="0" t="s">
        <v>1856</v>
      </c>
      <c r="B945" s="0" t="s">
        <v>319</v>
      </c>
      <c r="C945" s="0" t="s">
        <v>456</v>
      </c>
      <c r="D945" s="0" t="s">
        <v>65</v>
      </c>
      <c r="E945" s="0" t="s">
        <v>41</v>
      </c>
      <c r="F945" s="0" t="s">
        <v>380</v>
      </c>
      <c r="G945" s="0" t="n">
        <v>1928386</v>
      </c>
      <c r="H945" s="0" t="n">
        <v>66018</v>
      </c>
      <c r="I945" s="0" t="n">
        <v>14864</v>
      </c>
      <c r="J945" s="0" t="n">
        <v>36</v>
      </c>
      <c r="K945" s="0" t="n">
        <v>22</v>
      </c>
      <c r="L945" s="0" t="n">
        <v>580</v>
      </c>
      <c r="M945" s="0" t="s">
        <v>54</v>
      </c>
      <c r="N945" s="0" t="s">
        <v>74</v>
      </c>
    </row>
    <row r="946" customFormat="false" ht="15" hidden="false" customHeight="false" outlineLevel="0" collapsed="false">
      <c r="A946" s="0" t="s">
        <v>1857</v>
      </c>
      <c r="B946" s="0" t="s">
        <v>104</v>
      </c>
      <c r="C946" s="0" t="s">
        <v>356</v>
      </c>
      <c r="D946" s="0" t="s">
        <v>46</v>
      </c>
      <c r="E946" s="0" t="s">
        <v>138</v>
      </c>
      <c r="F946" s="0" t="s">
        <v>329</v>
      </c>
      <c r="G946" s="0" t="n">
        <v>2300628</v>
      </c>
      <c r="H946" s="0" t="n">
        <v>72153</v>
      </c>
      <c r="I946" s="0" t="n">
        <v>15133</v>
      </c>
      <c r="J946" s="0" t="n">
        <v>37.9</v>
      </c>
      <c r="K946" s="0" t="n">
        <v>17</v>
      </c>
      <c r="L946" s="0" t="n">
        <v>666</v>
      </c>
      <c r="M946" s="0" t="s">
        <v>20</v>
      </c>
      <c r="N946" s="0" t="s">
        <v>81</v>
      </c>
    </row>
    <row r="947" customFormat="false" ht="15" hidden="false" customHeight="false" outlineLevel="0" collapsed="false">
      <c r="A947" s="0" t="s">
        <v>1858</v>
      </c>
      <c r="B947" s="0" t="s">
        <v>1859</v>
      </c>
      <c r="C947" s="0" t="s">
        <v>77</v>
      </c>
      <c r="D947" s="0" t="s">
        <v>65</v>
      </c>
      <c r="E947" s="0" t="s">
        <v>562</v>
      </c>
      <c r="F947" s="0" t="s">
        <v>335</v>
      </c>
      <c r="G947" s="0" t="n">
        <v>1723325</v>
      </c>
      <c r="H947" s="0" t="n">
        <v>54756</v>
      </c>
      <c r="I947" s="0" t="n">
        <v>14999</v>
      </c>
      <c r="J947" s="0" t="n">
        <v>13</v>
      </c>
      <c r="K947" s="0" t="n">
        <v>17</v>
      </c>
      <c r="L947" s="0" t="n">
        <v>734</v>
      </c>
      <c r="M947" s="0" t="s">
        <v>54</v>
      </c>
      <c r="N947" s="0" t="s">
        <v>21</v>
      </c>
    </row>
    <row r="948" customFormat="false" ht="15" hidden="false" customHeight="false" outlineLevel="0" collapsed="false">
      <c r="A948" s="0" t="s">
        <v>1860</v>
      </c>
      <c r="B948" s="0" t="s">
        <v>1861</v>
      </c>
      <c r="C948" s="0" t="s">
        <v>626</v>
      </c>
      <c r="D948" s="0" t="s">
        <v>78</v>
      </c>
      <c r="E948" s="0" t="s">
        <v>26</v>
      </c>
      <c r="F948" s="0" t="s">
        <v>292</v>
      </c>
      <c r="G948" s="0" t="n">
        <v>1924961</v>
      </c>
      <c r="H948" s="0" t="n">
        <v>62465</v>
      </c>
      <c r="I948" s="0" t="n">
        <v>17261</v>
      </c>
      <c r="J948" s="0" t="n">
        <v>56.2</v>
      </c>
      <c r="K948" s="0" t="n">
        <v>23</v>
      </c>
      <c r="L948" s="0" t="n">
        <v>443</v>
      </c>
      <c r="M948" s="0" t="s">
        <v>54</v>
      </c>
      <c r="N948" s="0" t="s">
        <v>67</v>
      </c>
    </row>
    <row r="949" customFormat="false" ht="15" hidden="false" customHeight="false" outlineLevel="0" collapsed="false">
      <c r="A949" s="0" t="s">
        <v>1862</v>
      </c>
      <c r="B949" s="0" t="s">
        <v>1863</v>
      </c>
      <c r="C949" s="0" t="s">
        <v>1063</v>
      </c>
      <c r="D949" s="0" t="s">
        <v>65</v>
      </c>
      <c r="E949" s="0" t="s">
        <v>299</v>
      </c>
      <c r="F949" s="0" t="s">
        <v>66</v>
      </c>
      <c r="G949" s="0" t="n">
        <v>1653411</v>
      </c>
      <c r="H949" s="0" t="n">
        <v>52714</v>
      </c>
      <c r="I949" s="0" t="n">
        <v>19041</v>
      </c>
      <c r="J949" s="0" t="n">
        <v>40.4</v>
      </c>
      <c r="K949" s="0" t="n">
        <v>8</v>
      </c>
      <c r="L949" s="0" t="n">
        <v>695</v>
      </c>
      <c r="M949" s="0" t="s">
        <v>20</v>
      </c>
      <c r="N949" s="0" t="s">
        <v>21</v>
      </c>
    </row>
    <row r="950" customFormat="false" ht="15" hidden="false" customHeight="false" outlineLevel="0" collapsed="false">
      <c r="A950" s="0" t="s">
        <v>1864</v>
      </c>
      <c r="B950" s="0" t="s">
        <v>104</v>
      </c>
      <c r="C950" s="0" t="s">
        <v>129</v>
      </c>
      <c r="D950" s="0" t="s">
        <v>46</v>
      </c>
      <c r="E950" s="0" t="s">
        <v>53</v>
      </c>
      <c r="F950" s="0" t="s">
        <v>241</v>
      </c>
      <c r="G950" s="0" t="n">
        <v>2776921</v>
      </c>
      <c r="H950" s="0" t="n">
        <v>87274</v>
      </c>
      <c r="I950" s="0" t="n">
        <v>19442</v>
      </c>
      <c r="J950" s="0" t="n">
        <v>58.3</v>
      </c>
      <c r="K950" s="0" t="n">
        <v>8</v>
      </c>
      <c r="L950" s="0" t="n">
        <v>789</v>
      </c>
      <c r="M950" s="0" t="s">
        <v>54</v>
      </c>
      <c r="N950" s="0" t="s">
        <v>102</v>
      </c>
    </row>
    <row r="951" customFormat="false" ht="15" hidden="false" customHeight="false" outlineLevel="0" collapsed="false">
      <c r="A951" s="0" t="s">
        <v>1865</v>
      </c>
      <c r="B951" s="0" t="s">
        <v>580</v>
      </c>
      <c r="C951" s="0" t="s">
        <v>212</v>
      </c>
      <c r="D951" s="0" t="s">
        <v>71</v>
      </c>
      <c r="E951" s="0" t="s">
        <v>253</v>
      </c>
      <c r="F951" s="0" t="s">
        <v>346</v>
      </c>
      <c r="G951" s="0" t="n">
        <v>1877150</v>
      </c>
      <c r="H951" s="0" t="n">
        <v>42254</v>
      </c>
      <c r="I951" s="0" t="n">
        <v>11650</v>
      </c>
      <c r="J951" s="0" t="n">
        <v>35.4</v>
      </c>
      <c r="K951" s="0" t="n">
        <v>19</v>
      </c>
      <c r="L951" s="0" t="n">
        <v>617</v>
      </c>
      <c r="M951" s="0" t="s">
        <v>54</v>
      </c>
      <c r="N951" s="0" t="s">
        <v>96</v>
      </c>
    </row>
    <row r="952" customFormat="false" ht="15" hidden="false" customHeight="false" outlineLevel="0" collapsed="false">
      <c r="A952" s="0" t="s">
        <v>1866</v>
      </c>
      <c r="B952" s="0" t="s">
        <v>1489</v>
      </c>
      <c r="C952" s="0" t="s">
        <v>1158</v>
      </c>
      <c r="D952" s="0" t="s">
        <v>32</v>
      </c>
      <c r="E952" s="0" t="s">
        <v>302</v>
      </c>
      <c r="F952" s="0" t="s">
        <v>47</v>
      </c>
      <c r="G952" s="0" t="n">
        <v>6007447</v>
      </c>
      <c r="H952" s="0" t="n">
        <v>238930</v>
      </c>
      <c r="I952" s="0" t="n">
        <v>75858</v>
      </c>
      <c r="J952" s="0" t="n">
        <v>30.9</v>
      </c>
      <c r="K952" s="0" t="n">
        <v>12</v>
      </c>
      <c r="L952" s="0" t="n">
        <v>370</v>
      </c>
      <c r="M952" s="0" t="s">
        <v>20</v>
      </c>
      <c r="N952" s="0" t="s">
        <v>28</v>
      </c>
    </row>
    <row r="953" customFormat="false" ht="15" hidden="false" customHeight="false" outlineLevel="0" collapsed="false">
      <c r="A953" s="0" t="s">
        <v>1867</v>
      </c>
      <c r="B953" s="0" t="s">
        <v>1513</v>
      </c>
      <c r="C953" s="0" t="s">
        <v>686</v>
      </c>
      <c r="D953" s="0" t="s">
        <v>71</v>
      </c>
      <c r="E953" s="0" t="s">
        <v>229</v>
      </c>
      <c r="F953" s="0" t="s">
        <v>159</v>
      </c>
      <c r="G953" s="0" t="n">
        <v>1276584</v>
      </c>
      <c r="H953" s="0" t="n">
        <v>35495</v>
      </c>
      <c r="I953" s="0" t="n">
        <v>9350</v>
      </c>
      <c r="J953" s="0" t="n">
        <v>43.9</v>
      </c>
      <c r="K953" s="0" t="n">
        <v>6</v>
      </c>
      <c r="L953" s="0" t="n">
        <v>324</v>
      </c>
      <c r="M953" s="0" t="s">
        <v>20</v>
      </c>
      <c r="N953" s="0" t="s">
        <v>74</v>
      </c>
    </row>
    <row r="954" customFormat="false" ht="15" hidden="false" customHeight="false" outlineLevel="0" collapsed="false">
      <c r="A954" s="0" t="s">
        <v>1868</v>
      </c>
      <c r="B954" s="0" t="s">
        <v>1502</v>
      </c>
      <c r="C954" s="0" t="s">
        <v>445</v>
      </c>
      <c r="D954" s="0" t="s">
        <v>39</v>
      </c>
      <c r="E954" s="0" t="s">
        <v>186</v>
      </c>
      <c r="F954" s="0" t="s">
        <v>120</v>
      </c>
      <c r="G954" s="0" t="n">
        <v>1974946</v>
      </c>
      <c r="H954" s="0" t="n">
        <v>74367</v>
      </c>
      <c r="I954" s="0" t="n">
        <v>21631</v>
      </c>
      <c r="J954" s="0" t="n">
        <v>25</v>
      </c>
      <c r="K954" s="0" t="n">
        <v>15</v>
      </c>
      <c r="L954" s="0" t="n">
        <v>607</v>
      </c>
      <c r="M954" s="0" t="s">
        <v>20</v>
      </c>
      <c r="N954" s="0" t="s">
        <v>122</v>
      </c>
    </row>
    <row r="955" customFormat="false" ht="15" hidden="false" customHeight="false" outlineLevel="0" collapsed="false">
      <c r="A955" s="0" t="s">
        <v>1869</v>
      </c>
      <c r="B955" s="0" t="s">
        <v>231</v>
      </c>
      <c r="C955" s="0" t="s">
        <v>217</v>
      </c>
      <c r="D955" s="0" t="s">
        <v>46</v>
      </c>
      <c r="E955" s="0" t="s">
        <v>407</v>
      </c>
      <c r="F955" s="0" t="s">
        <v>314</v>
      </c>
      <c r="G955" s="0" t="n">
        <v>2478073</v>
      </c>
      <c r="H955" s="0" t="n">
        <v>72983</v>
      </c>
      <c r="I955" s="0" t="n">
        <v>20528</v>
      </c>
      <c r="J955" s="0" t="n">
        <v>42.6</v>
      </c>
      <c r="K955" s="0" t="n">
        <v>5</v>
      </c>
      <c r="L955" s="0" t="n">
        <v>627</v>
      </c>
      <c r="M955" s="0" t="s">
        <v>20</v>
      </c>
      <c r="N955" s="0" t="s">
        <v>74</v>
      </c>
    </row>
    <row r="956" customFormat="false" ht="15" hidden="false" customHeight="false" outlineLevel="0" collapsed="false">
      <c r="A956" s="0" t="s">
        <v>1870</v>
      </c>
      <c r="B956" s="0" t="s">
        <v>63</v>
      </c>
      <c r="C956" s="0" t="s">
        <v>899</v>
      </c>
      <c r="D956" s="0" t="s">
        <v>65</v>
      </c>
      <c r="E956" s="0" t="s">
        <v>372</v>
      </c>
      <c r="F956" s="0" t="s">
        <v>220</v>
      </c>
      <c r="G956" s="0" t="n">
        <v>2515012</v>
      </c>
      <c r="H956" s="0" t="n">
        <v>69523</v>
      </c>
      <c r="I956" s="0" t="n">
        <v>25231</v>
      </c>
      <c r="J956" s="0" t="n">
        <v>4.4</v>
      </c>
      <c r="K956" s="0" t="n">
        <v>19</v>
      </c>
      <c r="L956" s="0" t="n">
        <v>240</v>
      </c>
      <c r="M956" s="0" t="s">
        <v>35</v>
      </c>
      <c r="N956" s="0" t="s">
        <v>67</v>
      </c>
    </row>
    <row r="957" customFormat="false" ht="15" hidden="false" customHeight="false" outlineLevel="0" collapsed="false">
      <c r="A957" s="0" t="s">
        <v>1871</v>
      </c>
      <c r="B957" s="0" t="s">
        <v>1872</v>
      </c>
      <c r="C957" s="0" t="s">
        <v>1012</v>
      </c>
      <c r="D957" s="0" t="s">
        <v>109</v>
      </c>
      <c r="E957" s="0" t="s">
        <v>220</v>
      </c>
      <c r="F957" s="0" t="s">
        <v>33</v>
      </c>
      <c r="G957" s="0" t="n">
        <v>1082094</v>
      </c>
      <c r="H957" s="0" t="n">
        <v>37829</v>
      </c>
      <c r="I957" s="0" t="n">
        <v>10440</v>
      </c>
      <c r="J957" s="0" t="n">
        <v>30.1</v>
      </c>
      <c r="K957" s="0" t="n">
        <v>11</v>
      </c>
      <c r="L957" s="0" t="n">
        <v>412</v>
      </c>
      <c r="M957" s="0" t="s">
        <v>54</v>
      </c>
      <c r="N957" s="0" t="s">
        <v>55</v>
      </c>
    </row>
    <row r="958" customFormat="false" ht="15" hidden="false" customHeight="false" outlineLevel="0" collapsed="false">
      <c r="A958" s="0" t="s">
        <v>1873</v>
      </c>
      <c r="B958" s="0" t="s">
        <v>323</v>
      </c>
      <c r="C958" s="0" t="s">
        <v>578</v>
      </c>
      <c r="D958" s="0" t="s">
        <v>46</v>
      </c>
      <c r="E958" s="0" t="s">
        <v>72</v>
      </c>
      <c r="F958" s="0" t="s">
        <v>73</v>
      </c>
      <c r="G958" s="0" t="n">
        <v>2072751</v>
      </c>
      <c r="H958" s="0" t="n">
        <v>64710</v>
      </c>
      <c r="I958" s="0" t="n">
        <v>17383</v>
      </c>
      <c r="J958" s="0" t="n">
        <v>42.5</v>
      </c>
      <c r="K958" s="0" t="n">
        <v>15</v>
      </c>
      <c r="L958" s="0" t="n">
        <v>573</v>
      </c>
      <c r="M958" s="0" t="s">
        <v>35</v>
      </c>
      <c r="N958" s="0" t="s">
        <v>21</v>
      </c>
    </row>
    <row r="959" customFormat="false" ht="15" hidden="false" customHeight="false" outlineLevel="0" collapsed="false">
      <c r="A959" s="0" t="s">
        <v>1874</v>
      </c>
      <c r="B959" s="0" t="s">
        <v>1410</v>
      </c>
      <c r="C959" s="0" t="s">
        <v>401</v>
      </c>
      <c r="D959" s="0" t="s">
        <v>109</v>
      </c>
      <c r="E959" s="0" t="s">
        <v>270</v>
      </c>
      <c r="F959" s="0" t="s">
        <v>472</v>
      </c>
      <c r="G959" s="0" t="n">
        <v>1862241</v>
      </c>
      <c r="H959" s="0" t="n">
        <v>56904</v>
      </c>
      <c r="I959" s="0" t="n">
        <v>17047</v>
      </c>
      <c r="J959" s="0" t="n">
        <v>47.5</v>
      </c>
      <c r="K959" s="0" t="n">
        <v>16</v>
      </c>
      <c r="L959" s="0" t="n">
        <v>253</v>
      </c>
      <c r="M959" s="0" t="s">
        <v>35</v>
      </c>
      <c r="N959" s="0" t="s">
        <v>21</v>
      </c>
    </row>
    <row r="960" customFormat="false" ht="15" hidden="false" customHeight="false" outlineLevel="0" collapsed="false">
      <c r="A960" s="0" t="s">
        <v>1875</v>
      </c>
      <c r="B960" s="0" t="s">
        <v>656</v>
      </c>
      <c r="C960" s="0" t="s">
        <v>247</v>
      </c>
      <c r="D960" s="0" t="s">
        <v>17</v>
      </c>
      <c r="E960" s="0" t="s">
        <v>53</v>
      </c>
      <c r="F960" s="0" t="s">
        <v>265</v>
      </c>
      <c r="G960" s="0" t="n">
        <v>2183020</v>
      </c>
      <c r="H960" s="0" t="n">
        <v>59194</v>
      </c>
      <c r="I960" s="0" t="n">
        <v>17743</v>
      </c>
      <c r="J960" s="0" t="n">
        <v>18.5</v>
      </c>
      <c r="K960" s="0" t="n">
        <v>7</v>
      </c>
      <c r="L960" s="0" t="n">
        <v>746</v>
      </c>
      <c r="M960" s="0" t="s">
        <v>35</v>
      </c>
      <c r="N960" s="0" t="s">
        <v>169</v>
      </c>
    </row>
    <row r="961" customFormat="false" ht="15" hidden="false" customHeight="false" outlineLevel="0" collapsed="false">
      <c r="A961" s="0" t="s">
        <v>1876</v>
      </c>
      <c r="B961" s="0" t="s">
        <v>571</v>
      </c>
      <c r="C961" s="0" t="s">
        <v>114</v>
      </c>
      <c r="D961" s="0" t="s">
        <v>89</v>
      </c>
      <c r="E961" s="0" t="s">
        <v>72</v>
      </c>
      <c r="F961" s="0" t="s">
        <v>73</v>
      </c>
      <c r="G961" s="0" t="n">
        <v>1104225</v>
      </c>
      <c r="H961" s="0" t="n">
        <v>22288</v>
      </c>
      <c r="I961" s="0" t="n">
        <v>6412</v>
      </c>
      <c r="J961" s="0" t="n">
        <v>31.6</v>
      </c>
      <c r="K961" s="0" t="n">
        <v>13</v>
      </c>
      <c r="L961" s="0" t="n">
        <v>367</v>
      </c>
      <c r="M961" s="0" t="s">
        <v>20</v>
      </c>
      <c r="N961" s="0" t="s">
        <v>81</v>
      </c>
    </row>
    <row r="962" customFormat="false" ht="15" hidden="false" customHeight="false" outlineLevel="0" collapsed="false">
      <c r="A962" s="0" t="s">
        <v>1877</v>
      </c>
      <c r="B962" s="0" t="s">
        <v>1165</v>
      </c>
      <c r="C962" s="0" t="s">
        <v>392</v>
      </c>
      <c r="D962" s="0" t="s">
        <v>71</v>
      </c>
      <c r="E962" s="0" t="s">
        <v>552</v>
      </c>
      <c r="F962" s="0" t="s">
        <v>539</v>
      </c>
      <c r="G962" s="0" t="n">
        <v>1245067</v>
      </c>
      <c r="H962" s="0" t="n">
        <v>39896</v>
      </c>
      <c r="I962" s="0" t="n">
        <v>12137</v>
      </c>
      <c r="J962" s="0" t="n">
        <v>10.8</v>
      </c>
      <c r="K962" s="0" t="n">
        <v>9</v>
      </c>
      <c r="L962" s="0" t="n">
        <v>648</v>
      </c>
      <c r="M962" s="0" t="s">
        <v>54</v>
      </c>
      <c r="N962" s="0" t="s">
        <v>74</v>
      </c>
    </row>
    <row r="963" customFormat="false" ht="15" hidden="false" customHeight="false" outlineLevel="0" collapsed="false">
      <c r="A963" s="0" t="s">
        <v>1878</v>
      </c>
      <c r="B963" s="0" t="s">
        <v>617</v>
      </c>
      <c r="C963" s="0" t="s">
        <v>70</v>
      </c>
      <c r="D963" s="0" t="s">
        <v>109</v>
      </c>
      <c r="E963" s="0" t="s">
        <v>558</v>
      </c>
      <c r="F963" s="0" t="s">
        <v>80</v>
      </c>
      <c r="G963" s="0" t="n">
        <v>1665566</v>
      </c>
      <c r="H963" s="0" t="n">
        <v>49129</v>
      </c>
      <c r="I963" s="0" t="n">
        <v>14871</v>
      </c>
      <c r="J963" s="0" t="n">
        <v>5.5</v>
      </c>
      <c r="K963" s="0" t="n">
        <v>8</v>
      </c>
      <c r="L963" s="0" t="n">
        <v>607</v>
      </c>
      <c r="M963" s="0" t="s">
        <v>54</v>
      </c>
      <c r="N963" s="0" t="s">
        <v>21</v>
      </c>
    </row>
    <row r="964" customFormat="false" ht="15" hidden="false" customHeight="false" outlineLevel="0" collapsed="false">
      <c r="A964" s="0" t="s">
        <v>1879</v>
      </c>
      <c r="B964" s="0" t="s">
        <v>603</v>
      </c>
      <c r="C964" s="0" t="s">
        <v>148</v>
      </c>
      <c r="D964" s="0" t="s">
        <v>89</v>
      </c>
      <c r="E964" s="0" t="s">
        <v>273</v>
      </c>
      <c r="F964" s="0" t="s">
        <v>558</v>
      </c>
      <c r="G964" s="0" t="n">
        <v>1237498</v>
      </c>
      <c r="H964" s="0" t="n">
        <v>36008</v>
      </c>
      <c r="I964" s="0" t="n">
        <v>9074</v>
      </c>
      <c r="J964" s="0" t="n">
        <v>57.1</v>
      </c>
      <c r="K964" s="0" t="n">
        <v>6</v>
      </c>
      <c r="L964" s="0" t="n">
        <v>203</v>
      </c>
      <c r="M964" s="0" t="s">
        <v>20</v>
      </c>
      <c r="N964" s="0" t="s">
        <v>74</v>
      </c>
    </row>
    <row r="965" customFormat="false" ht="15" hidden="false" customHeight="false" outlineLevel="0" collapsed="false">
      <c r="A965" s="0" t="s">
        <v>1880</v>
      </c>
      <c r="B965" s="0" t="s">
        <v>316</v>
      </c>
      <c r="C965" s="0" t="s">
        <v>478</v>
      </c>
      <c r="D965" s="0" t="s">
        <v>78</v>
      </c>
      <c r="E965" s="0" t="s">
        <v>310</v>
      </c>
      <c r="F965" s="0" t="s">
        <v>418</v>
      </c>
      <c r="G965" s="0" t="n">
        <v>2311106</v>
      </c>
      <c r="H965" s="0" t="n">
        <v>94510</v>
      </c>
      <c r="I965" s="0" t="n">
        <v>23783</v>
      </c>
      <c r="J965" s="0" t="n">
        <v>48.7</v>
      </c>
      <c r="K965" s="0" t="n">
        <v>20</v>
      </c>
      <c r="L965" s="0" t="n">
        <v>415</v>
      </c>
      <c r="M965" s="0" t="s">
        <v>20</v>
      </c>
      <c r="N965" s="0" t="s">
        <v>42</v>
      </c>
    </row>
    <row r="966" customFormat="false" ht="15" hidden="false" customHeight="false" outlineLevel="0" collapsed="false">
      <c r="A966" s="0" t="s">
        <v>1881</v>
      </c>
      <c r="B966" s="0" t="s">
        <v>743</v>
      </c>
      <c r="C966" s="0" t="s">
        <v>1681</v>
      </c>
      <c r="D966" s="0" t="s">
        <v>46</v>
      </c>
      <c r="E966" s="0" t="s">
        <v>457</v>
      </c>
      <c r="F966" s="0" t="s">
        <v>120</v>
      </c>
      <c r="G966" s="0" t="n">
        <v>1892775</v>
      </c>
      <c r="H966" s="0" t="n">
        <v>52983</v>
      </c>
      <c r="I966" s="0" t="n">
        <v>15762</v>
      </c>
      <c r="J966" s="0" t="n">
        <v>31.3</v>
      </c>
      <c r="K966" s="0" t="n">
        <v>9</v>
      </c>
      <c r="L966" s="0" t="n">
        <v>272</v>
      </c>
      <c r="M966" s="0" t="s">
        <v>20</v>
      </c>
      <c r="N966" s="0" t="s">
        <v>81</v>
      </c>
    </row>
    <row r="967" customFormat="false" ht="15" hidden="false" customHeight="false" outlineLevel="0" collapsed="false">
      <c r="A967" s="0" t="s">
        <v>1882</v>
      </c>
      <c r="B967" s="0" t="s">
        <v>1200</v>
      </c>
      <c r="C967" s="0" t="s">
        <v>1597</v>
      </c>
      <c r="D967" s="0" t="s">
        <v>109</v>
      </c>
      <c r="E967" s="0" t="s">
        <v>574</v>
      </c>
      <c r="F967" s="0" t="s">
        <v>110</v>
      </c>
      <c r="G967" s="0" t="n">
        <v>1236627</v>
      </c>
      <c r="H967" s="0" t="n">
        <v>45469</v>
      </c>
      <c r="I967" s="0" t="n">
        <v>15186</v>
      </c>
      <c r="J967" s="0" t="n">
        <v>9.9</v>
      </c>
      <c r="K967" s="0" t="n">
        <v>13</v>
      </c>
      <c r="L967" s="0" t="n">
        <v>780</v>
      </c>
      <c r="M967" s="0" t="s">
        <v>20</v>
      </c>
      <c r="N967" s="0" t="s">
        <v>67</v>
      </c>
    </row>
    <row r="968" customFormat="false" ht="15" hidden="false" customHeight="false" outlineLevel="0" collapsed="false">
      <c r="A968" s="0" t="s">
        <v>1883</v>
      </c>
      <c r="B968" s="0" t="s">
        <v>462</v>
      </c>
      <c r="C968" s="0" t="s">
        <v>549</v>
      </c>
      <c r="D968" s="0" t="s">
        <v>46</v>
      </c>
      <c r="E968" s="0" t="s">
        <v>562</v>
      </c>
      <c r="F968" s="0" t="s">
        <v>314</v>
      </c>
      <c r="G968" s="0" t="n">
        <v>1554319</v>
      </c>
      <c r="H968" s="0" t="n">
        <v>41196</v>
      </c>
      <c r="I968" s="0" t="n">
        <v>10772</v>
      </c>
      <c r="J968" s="0" t="n">
        <v>47.4</v>
      </c>
      <c r="K968" s="0" t="n">
        <v>10</v>
      </c>
      <c r="L968" s="0" t="n">
        <v>699</v>
      </c>
      <c r="M968" s="0" t="s">
        <v>54</v>
      </c>
      <c r="N968" s="0" t="s">
        <v>169</v>
      </c>
    </row>
    <row r="969" customFormat="false" ht="15" hidden="false" customHeight="false" outlineLevel="0" collapsed="false">
      <c r="A969" s="0" t="s">
        <v>1884</v>
      </c>
      <c r="B969" s="0" t="s">
        <v>364</v>
      </c>
      <c r="C969" s="0" t="s">
        <v>947</v>
      </c>
      <c r="D969" s="0" t="s">
        <v>46</v>
      </c>
      <c r="E969" s="0" t="s">
        <v>116</v>
      </c>
      <c r="F969" s="0" t="s">
        <v>552</v>
      </c>
      <c r="G969" s="0" t="n">
        <v>1647816</v>
      </c>
      <c r="H969" s="0" t="n">
        <v>49643</v>
      </c>
      <c r="I969" s="0" t="n">
        <v>10990</v>
      </c>
      <c r="J969" s="0" t="n">
        <v>47</v>
      </c>
      <c r="K969" s="0" t="n">
        <v>7</v>
      </c>
      <c r="L969" s="0" t="n">
        <v>661</v>
      </c>
      <c r="M969" s="0" t="s">
        <v>20</v>
      </c>
      <c r="N969" s="0" t="s">
        <v>140</v>
      </c>
    </row>
    <row r="970" customFormat="false" ht="15" hidden="false" customHeight="false" outlineLevel="0" collapsed="false">
      <c r="A970" s="0" t="s">
        <v>1885</v>
      </c>
      <c r="B970" s="0" t="s">
        <v>1886</v>
      </c>
      <c r="C970" s="0" t="s">
        <v>236</v>
      </c>
      <c r="D970" s="0" t="s">
        <v>65</v>
      </c>
      <c r="E970" s="0" t="s">
        <v>299</v>
      </c>
      <c r="F970" s="0" t="s">
        <v>79</v>
      </c>
      <c r="G970" s="0" t="n">
        <v>1937577</v>
      </c>
      <c r="H970" s="0" t="n">
        <v>55532</v>
      </c>
      <c r="I970" s="0" t="n">
        <v>14315</v>
      </c>
      <c r="J970" s="0" t="n">
        <v>27</v>
      </c>
      <c r="K970" s="0" t="n">
        <v>21</v>
      </c>
      <c r="L970" s="0" t="n">
        <v>510</v>
      </c>
      <c r="M970" s="0" t="s">
        <v>35</v>
      </c>
      <c r="N970" s="0" t="s">
        <v>122</v>
      </c>
    </row>
    <row r="971" customFormat="false" ht="15" hidden="false" customHeight="false" outlineLevel="0" collapsed="false">
      <c r="A971" s="0" t="s">
        <v>1887</v>
      </c>
      <c r="B971" s="0" t="s">
        <v>1736</v>
      </c>
      <c r="C971" s="0" t="s">
        <v>401</v>
      </c>
      <c r="D971" s="0" t="s">
        <v>25</v>
      </c>
      <c r="E971" s="0" t="s">
        <v>66</v>
      </c>
      <c r="F971" s="0" t="s">
        <v>79</v>
      </c>
      <c r="G971" s="0" t="n">
        <v>4801950</v>
      </c>
      <c r="H971" s="0" t="n">
        <v>175726</v>
      </c>
      <c r="I971" s="0" t="n">
        <v>42856</v>
      </c>
      <c r="J971" s="0" t="n">
        <v>58.6</v>
      </c>
      <c r="K971" s="0" t="n">
        <v>12</v>
      </c>
      <c r="L971" s="0" t="n">
        <v>437</v>
      </c>
      <c r="M971" s="0" t="s">
        <v>20</v>
      </c>
      <c r="N971" s="0" t="s">
        <v>102</v>
      </c>
    </row>
    <row r="972" customFormat="false" ht="15" hidden="false" customHeight="false" outlineLevel="0" collapsed="false">
      <c r="A972" s="0" t="s">
        <v>1888</v>
      </c>
      <c r="B972" s="0" t="s">
        <v>1889</v>
      </c>
      <c r="C972" s="0" t="s">
        <v>392</v>
      </c>
      <c r="D972" s="0" t="s">
        <v>25</v>
      </c>
      <c r="E972" s="0" t="s">
        <v>61</v>
      </c>
      <c r="F972" s="0" t="s">
        <v>299</v>
      </c>
      <c r="G972" s="0" t="n">
        <v>1667669</v>
      </c>
      <c r="H972" s="0" t="n">
        <v>47540</v>
      </c>
      <c r="I972" s="0" t="n">
        <v>15359</v>
      </c>
      <c r="J972" s="0" t="n">
        <v>3.4</v>
      </c>
      <c r="K972" s="0" t="n">
        <v>18</v>
      </c>
      <c r="L972" s="0" t="n">
        <v>784</v>
      </c>
      <c r="M972" s="0" t="s">
        <v>20</v>
      </c>
      <c r="N972" s="0" t="s">
        <v>169</v>
      </c>
    </row>
    <row r="973" customFormat="false" ht="15" hidden="false" customHeight="false" outlineLevel="0" collapsed="false">
      <c r="A973" s="0" t="s">
        <v>1890</v>
      </c>
      <c r="B973" s="0" t="s">
        <v>668</v>
      </c>
      <c r="C973" s="0" t="s">
        <v>427</v>
      </c>
      <c r="D973" s="0" t="s">
        <v>39</v>
      </c>
      <c r="E973" s="0" t="s">
        <v>340</v>
      </c>
      <c r="F973" s="0" t="s">
        <v>125</v>
      </c>
      <c r="G973" s="0" t="n">
        <v>2315420</v>
      </c>
      <c r="H973" s="0" t="n">
        <v>86741</v>
      </c>
      <c r="I973" s="0" t="n">
        <v>26754</v>
      </c>
      <c r="J973" s="0" t="n">
        <v>15.8</v>
      </c>
      <c r="K973" s="0" t="n">
        <v>22</v>
      </c>
      <c r="L973" s="0" t="n">
        <v>681</v>
      </c>
      <c r="M973" s="0" t="s">
        <v>20</v>
      </c>
      <c r="N973" s="0" t="s">
        <v>67</v>
      </c>
    </row>
    <row r="974" customFormat="false" ht="15" hidden="false" customHeight="false" outlineLevel="0" collapsed="false">
      <c r="A974" s="0" t="s">
        <v>1891</v>
      </c>
      <c r="B974" s="0" t="s">
        <v>455</v>
      </c>
      <c r="C974" s="0" t="s">
        <v>392</v>
      </c>
      <c r="D974" s="0" t="s">
        <v>46</v>
      </c>
      <c r="E974" s="0" t="s">
        <v>186</v>
      </c>
      <c r="F974" s="0" t="s">
        <v>252</v>
      </c>
      <c r="G974" s="0" t="n">
        <v>1321211</v>
      </c>
      <c r="H974" s="0" t="n">
        <v>44068</v>
      </c>
      <c r="I974" s="0" t="n">
        <v>15120</v>
      </c>
      <c r="J974" s="0" t="n">
        <v>21.4</v>
      </c>
      <c r="K974" s="0" t="n">
        <v>12</v>
      </c>
      <c r="L974" s="0" t="n">
        <v>271</v>
      </c>
      <c r="M974" s="0" t="s">
        <v>35</v>
      </c>
      <c r="N974" s="0" t="s">
        <v>140</v>
      </c>
    </row>
    <row r="975" customFormat="false" ht="15" hidden="false" customHeight="false" outlineLevel="0" collapsed="false">
      <c r="A975" s="0" t="s">
        <v>1892</v>
      </c>
      <c r="B975" s="0" t="s">
        <v>1893</v>
      </c>
      <c r="C975" s="0" t="s">
        <v>832</v>
      </c>
      <c r="D975" s="0" t="s">
        <v>65</v>
      </c>
      <c r="E975" s="0" t="s">
        <v>34</v>
      </c>
      <c r="F975" s="0" t="s">
        <v>130</v>
      </c>
      <c r="G975" s="0" t="n">
        <v>1127842</v>
      </c>
      <c r="H975" s="0" t="n">
        <v>29487</v>
      </c>
      <c r="I975" s="0" t="n">
        <v>9430</v>
      </c>
      <c r="J975" s="0" t="n">
        <v>9.3</v>
      </c>
      <c r="K975" s="0" t="n">
        <v>16</v>
      </c>
      <c r="L975" s="0" t="n">
        <v>778</v>
      </c>
      <c r="M975" s="0" t="s">
        <v>54</v>
      </c>
      <c r="N975" s="0" t="s">
        <v>169</v>
      </c>
    </row>
    <row r="976" customFormat="false" ht="15" hidden="false" customHeight="false" outlineLevel="0" collapsed="false">
      <c r="A976" s="0" t="s">
        <v>1894</v>
      </c>
      <c r="B976" s="0" t="s">
        <v>382</v>
      </c>
      <c r="C976" s="0" t="s">
        <v>899</v>
      </c>
      <c r="D976" s="0" t="s">
        <v>89</v>
      </c>
      <c r="E976" s="0" t="s">
        <v>418</v>
      </c>
      <c r="F976" s="0" t="s">
        <v>213</v>
      </c>
      <c r="G976" s="0" t="n">
        <v>1626200</v>
      </c>
      <c r="H976" s="0" t="n">
        <v>38297</v>
      </c>
      <c r="I976" s="0" t="n">
        <v>9157</v>
      </c>
      <c r="J976" s="0" t="n">
        <v>48.4</v>
      </c>
      <c r="K976" s="0" t="n">
        <v>15</v>
      </c>
      <c r="L976" s="0" t="n">
        <v>403</v>
      </c>
      <c r="M976" s="0" t="s">
        <v>20</v>
      </c>
      <c r="N976" s="0" t="s">
        <v>42</v>
      </c>
    </row>
    <row r="977" customFormat="false" ht="15" hidden="false" customHeight="false" outlineLevel="0" collapsed="false">
      <c r="A977" s="0" t="s">
        <v>1895</v>
      </c>
      <c r="B977" s="0" t="s">
        <v>1896</v>
      </c>
      <c r="C977" s="0" t="s">
        <v>223</v>
      </c>
      <c r="D977" s="0" t="s">
        <v>17</v>
      </c>
      <c r="E977" s="0" t="s">
        <v>770</v>
      </c>
      <c r="F977" s="0" t="s">
        <v>347</v>
      </c>
      <c r="G977" s="0" t="n">
        <v>1524519</v>
      </c>
      <c r="H977" s="0" t="n">
        <v>36666</v>
      </c>
      <c r="I977" s="0" t="n">
        <v>9904</v>
      </c>
      <c r="J977" s="0" t="n">
        <v>13.4</v>
      </c>
      <c r="K977" s="0" t="n">
        <v>7</v>
      </c>
      <c r="L977" s="0" t="n">
        <v>623</v>
      </c>
      <c r="M977" s="0" t="s">
        <v>20</v>
      </c>
      <c r="N977" s="0" t="s">
        <v>21</v>
      </c>
    </row>
    <row r="978" customFormat="false" ht="15" hidden="false" customHeight="false" outlineLevel="0" collapsed="false">
      <c r="A978" s="0" t="s">
        <v>1897</v>
      </c>
      <c r="B978" s="0" t="s">
        <v>1292</v>
      </c>
      <c r="C978" s="0" t="s">
        <v>251</v>
      </c>
      <c r="D978" s="0" t="s">
        <v>39</v>
      </c>
      <c r="E978" s="0" t="s">
        <v>204</v>
      </c>
      <c r="F978" s="0" t="s">
        <v>347</v>
      </c>
      <c r="G978" s="0" t="n">
        <v>2771207</v>
      </c>
      <c r="H978" s="0" t="n">
        <v>96914</v>
      </c>
      <c r="I978" s="0" t="n">
        <v>26045</v>
      </c>
      <c r="J978" s="0" t="n">
        <v>41.1</v>
      </c>
      <c r="K978" s="0" t="n">
        <v>5</v>
      </c>
      <c r="L978" s="0" t="n">
        <v>719</v>
      </c>
      <c r="M978" s="0" t="s">
        <v>54</v>
      </c>
      <c r="N978" s="0" t="s">
        <v>169</v>
      </c>
    </row>
    <row r="979" customFormat="false" ht="15" hidden="false" customHeight="false" outlineLevel="0" collapsed="false">
      <c r="A979" s="0" t="s">
        <v>1898</v>
      </c>
      <c r="B979" s="0" t="s">
        <v>1234</v>
      </c>
      <c r="C979" s="0" t="s">
        <v>633</v>
      </c>
      <c r="D979" s="0" t="s">
        <v>46</v>
      </c>
      <c r="E979" s="0" t="s">
        <v>457</v>
      </c>
      <c r="F979" s="0" t="s">
        <v>252</v>
      </c>
      <c r="G979" s="0" t="n">
        <v>1523168</v>
      </c>
      <c r="H979" s="0" t="n">
        <v>38537</v>
      </c>
      <c r="I979" s="0" t="n">
        <v>7923</v>
      </c>
      <c r="J979" s="0" t="n">
        <v>35</v>
      </c>
      <c r="K979" s="0" t="n">
        <v>16</v>
      </c>
      <c r="L979" s="0" t="n">
        <v>756</v>
      </c>
      <c r="M979" s="0" t="s">
        <v>20</v>
      </c>
      <c r="N979" s="0" t="s">
        <v>28</v>
      </c>
    </row>
    <row r="980" customFormat="false" ht="15" hidden="false" customHeight="false" outlineLevel="0" collapsed="false">
      <c r="A980" s="0" t="s">
        <v>1899</v>
      </c>
      <c r="B980" s="0" t="s">
        <v>695</v>
      </c>
      <c r="C980" s="0" t="s">
        <v>93</v>
      </c>
      <c r="D980" s="0" t="s">
        <v>71</v>
      </c>
      <c r="E980" s="0" t="s">
        <v>111</v>
      </c>
      <c r="F980" s="0" t="s">
        <v>357</v>
      </c>
      <c r="G980" s="0" t="n">
        <v>1527259</v>
      </c>
      <c r="H980" s="0" t="n">
        <v>40686</v>
      </c>
      <c r="I980" s="0" t="n">
        <v>10479</v>
      </c>
      <c r="J980" s="0" t="n">
        <v>12.1</v>
      </c>
      <c r="K980" s="0" t="n">
        <v>22</v>
      </c>
      <c r="L980" s="0" t="n">
        <v>397</v>
      </c>
      <c r="M980" s="0" t="s">
        <v>54</v>
      </c>
      <c r="N980" s="0" t="s">
        <v>28</v>
      </c>
    </row>
    <row r="981" customFormat="false" ht="15" hidden="false" customHeight="false" outlineLevel="0" collapsed="false">
      <c r="A981" s="0" t="s">
        <v>1900</v>
      </c>
      <c r="B981" s="0" t="s">
        <v>395</v>
      </c>
      <c r="C981" s="0" t="s">
        <v>899</v>
      </c>
      <c r="D981" s="0" t="s">
        <v>46</v>
      </c>
      <c r="E981" s="0" t="s">
        <v>487</v>
      </c>
      <c r="F981" s="0" t="s">
        <v>241</v>
      </c>
      <c r="G981" s="0" t="n">
        <v>1642075</v>
      </c>
      <c r="H981" s="0" t="n">
        <v>48616</v>
      </c>
      <c r="I981" s="0" t="n">
        <v>15748</v>
      </c>
      <c r="J981" s="0" t="n">
        <v>50.9</v>
      </c>
      <c r="K981" s="0" t="n">
        <v>11</v>
      </c>
      <c r="L981" s="0" t="n">
        <v>228</v>
      </c>
      <c r="M981" s="0" t="s">
        <v>20</v>
      </c>
      <c r="N981" s="0" t="s">
        <v>74</v>
      </c>
    </row>
    <row r="982" customFormat="false" ht="15" hidden="false" customHeight="false" outlineLevel="0" collapsed="false">
      <c r="A982" s="0" t="s">
        <v>1901</v>
      </c>
      <c r="B982" s="0" t="s">
        <v>1902</v>
      </c>
      <c r="C982" s="0" t="s">
        <v>983</v>
      </c>
      <c r="D982" s="0" t="s">
        <v>109</v>
      </c>
      <c r="E982" s="0" t="s">
        <v>204</v>
      </c>
      <c r="F982" s="0" t="s">
        <v>346</v>
      </c>
      <c r="G982" s="0" t="n">
        <v>1835022</v>
      </c>
      <c r="H982" s="0" t="n">
        <v>71301</v>
      </c>
      <c r="I982" s="0" t="n">
        <v>20297</v>
      </c>
      <c r="J982" s="0" t="n">
        <v>57.5</v>
      </c>
      <c r="K982" s="0" t="n">
        <v>14</v>
      </c>
      <c r="L982" s="0" t="n">
        <v>409</v>
      </c>
      <c r="M982" s="0" t="s">
        <v>20</v>
      </c>
      <c r="N982" s="0" t="s">
        <v>81</v>
      </c>
    </row>
    <row r="983" customFormat="false" ht="15" hidden="false" customHeight="false" outlineLevel="0" collapsed="false">
      <c r="A983" s="0" t="s">
        <v>1903</v>
      </c>
      <c r="B983" s="0" t="s">
        <v>1904</v>
      </c>
      <c r="C983" s="0" t="s">
        <v>1020</v>
      </c>
      <c r="D983" s="0" t="s">
        <v>39</v>
      </c>
      <c r="E983" s="0" t="s">
        <v>335</v>
      </c>
      <c r="F983" s="0" t="s">
        <v>248</v>
      </c>
      <c r="G983" s="0" t="n">
        <v>2962625</v>
      </c>
      <c r="H983" s="0" t="n">
        <v>128863</v>
      </c>
      <c r="I983" s="0" t="n">
        <v>26311</v>
      </c>
      <c r="J983" s="0" t="n">
        <v>29.2</v>
      </c>
      <c r="K983" s="0" t="n">
        <v>5</v>
      </c>
      <c r="L983" s="0" t="n">
        <v>733</v>
      </c>
      <c r="M983" s="0" t="s">
        <v>54</v>
      </c>
      <c r="N983" s="0" t="s">
        <v>81</v>
      </c>
    </row>
    <row r="984" customFormat="false" ht="15" hidden="false" customHeight="false" outlineLevel="0" collapsed="false">
      <c r="A984" s="0" t="s">
        <v>1905</v>
      </c>
      <c r="B984" s="0" t="s">
        <v>1410</v>
      </c>
      <c r="C984" s="0" t="s">
        <v>698</v>
      </c>
      <c r="D984" s="0" t="s">
        <v>109</v>
      </c>
      <c r="E984" s="0" t="s">
        <v>100</v>
      </c>
      <c r="F984" s="0" t="s">
        <v>558</v>
      </c>
      <c r="G984" s="0" t="n">
        <v>1909358</v>
      </c>
      <c r="H984" s="0" t="n">
        <v>50296</v>
      </c>
      <c r="I984" s="0" t="n">
        <v>10922</v>
      </c>
      <c r="J984" s="0" t="n">
        <v>47.5</v>
      </c>
      <c r="K984" s="0" t="n">
        <v>24</v>
      </c>
      <c r="L984" s="0" t="n">
        <v>368</v>
      </c>
      <c r="M984" s="0" t="s">
        <v>20</v>
      </c>
      <c r="N984" s="0" t="s">
        <v>21</v>
      </c>
    </row>
    <row r="985" customFormat="false" ht="15" hidden="false" customHeight="false" outlineLevel="0" collapsed="false">
      <c r="A985" s="0" t="s">
        <v>1906</v>
      </c>
      <c r="B985" s="0" t="s">
        <v>1650</v>
      </c>
      <c r="C985" s="0" t="s">
        <v>1063</v>
      </c>
      <c r="D985" s="0" t="s">
        <v>65</v>
      </c>
      <c r="E985" s="0" t="s">
        <v>213</v>
      </c>
      <c r="F985" s="0" t="s">
        <v>27</v>
      </c>
      <c r="G985" s="0" t="n">
        <v>2485160</v>
      </c>
      <c r="H985" s="0" t="n">
        <v>64376</v>
      </c>
      <c r="I985" s="0" t="n">
        <v>21838</v>
      </c>
      <c r="J985" s="0" t="n">
        <v>45.8</v>
      </c>
      <c r="K985" s="0" t="n">
        <v>10</v>
      </c>
      <c r="L985" s="0" t="n">
        <v>751</v>
      </c>
      <c r="M985" s="0" t="s">
        <v>20</v>
      </c>
      <c r="N985" s="0" t="s">
        <v>21</v>
      </c>
    </row>
    <row r="986" customFormat="false" ht="15" hidden="false" customHeight="false" outlineLevel="0" collapsed="false">
      <c r="A986" s="0" t="s">
        <v>1907</v>
      </c>
      <c r="B986" s="0" t="s">
        <v>1861</v>
      </c>
      <c r="C986" s="0" t="s">
        <v>944</v>
      </c>
      <c r="D986" s="0" t="s">
        <v>144</v>
      </c>
      <c r="E986" s="0" t="s">
        <v>154</v>
      </c>
      <c r="F986" s="0" t="s">
        <v>288</v>
      </c>
      <c r="G986" s="0" t="n">
        <v>1517020</v>
      </c>
      <c r="H986" s="0" t="n">
        <v>35387</v>
      </c>
      <c r="I986" s="0" t="n">
        <v>9404</v>
      </c>
      <c r="J986" s="0" t="n">
        <v>6.8</v>
      </c>
      <c r="K986" s="0" t="n">
        <v>6</v>
      </c>
      <c r="L986" s="0" t="n">
        <v>454</v>
      </c>
      <c r="M986" s="0" t="s">
        <v>20</v>
      </c>
      <c r="N986" s="0" t="s">
        <v>122</v>
      </c>
    </row>
    <row r="987" customFormat="false" ht="15" hidden="false" customHeight="false" outlineLevel="0" collapsed="false">
      <c r="A987" s="0" t="s">
        <v>1908</v>
      </c>
      <c r="B987" s="0" t="s">
        <v>1042</v>
      </c>
      <c r="C987" s="0" t="s">
        <v>406</v>
      </c>
      <c r="D987" s="0" t="s">
        <v>59</v>
      </c>
      <c r="E987" s="0" t="s">
        <v>292</v>
      </c>
      <c r="F987" s="0" t="s">
        <v>193</v>
      </c>
      <c r="G987" s="0" t="n">
        <v>2308551</v>
      </c>
      <c r="H987" s="0" t="n">
        <v>110575</v>
      </c>
      <c r="I987" s="0" t="n">
        <v>25318</v>
      </c>
      <c r="J987" s="0" t="n">
        <v>4.2</v>
      </c>
      <c r="K987" s="0" t="n">
        <v>25</v>
      </c>
      <c r="L987" s="0" t="n">
        <v>171</v>
      </c>
      <c r="M987" s="0" t="s">
        <v>20</v>
      </c>
      <c r="N987" s="0" t="s">
        <v>67</v>
      </c>
    </row>
    <row r="988" customFormat="false" ht="15" hidden="false" customHeight="false" outlineLevel="0" collapsed="false">
      <c r="A988" s="0" t="s">
        <v>1909</v>
      </c>
      <c r="B988" s="0" t="s">
        <v>1631</v>
      </c>
      <c r="C988" s="0" t="s">
        <v>1597</v>
      </c>
      <c r="D988" s="0" t="s">
        <v>39</v>
      </c>
      <c r="E988" s="0" t="s">
        <v>380</v>
      </c>
      <c r="F988" s="0" t="s">
        <v>372</v>
      </c>
      <c r="G988" s="0" t="n">
        <v>3074325</v>
      </c>
      <c r="H988" s="0" t="n">
        <v>107931</v>
      </c>
      <c r="I988" s="0" t="n">
        <v>27491</v>
      </c>
      <c r="J988" s="0" t="n">
        <v>19.3</v>
      </c>
      <c r="K988" s="0" t="n">
        <v>25</v>
      </c>
      <c r="L988" s="0" t="n">
        <v>423</v>
      </c>
      <c r="M988" s="0" t="s">
        <v>20</v>
      </c>
      <c r="N988" s="0" t="s">
        <v>140</v>
      </c>
    </row>
    <row r="989" customFormat="false" ht="15" hidden="false" customHeight="false" outlineLevel="0" collapsed="false">
      <c r="A989" s="0" t="s">
        <v>1910</v>
      </c>
      <c r="B989" s="0" t="s">
        <v>1798</v>
      </c>
      <c r="C989" s="0" t="s">
        <v>812</v>
      </c>
      <c r="D989" s="0" t="s">
        <v>39</v>
      </c>
      <c r="E989" s="0" t="s">
        <v>130</v>
      </c>
      <c r="F989" s="0" t="s">
        <v>214</v>
      </c>
      <c r="G989" s="0" t="n">
        <v>2623149</v>
      </c>
      <c r="H989" s="0" t="n">
        <v>118246</v>
      </c>
      <c r="I989" s="0" t="n">
        <v>32903</v>
      </c>
      <c r="J989" s="0" t="n">
        <v>33.2</v>
      </c>
      <c r="K989" s="0" t="n">
        <v>12</v>
      </c>
      <c r="L989" s="0" t="n">
        <v>379</v>
      </c>
      <c r="M989" s="0" t="s">
        <v>54</v>
      </c>
      <c r="N989" s="0" t="s">
        <v>81</v>
      </c>
    </row>
    <row r="990" customFormat="false" ht="15" hidden="false" customHeight="false" outlineLevel="0" collapsed="false">
      <c r="A990" s="0" t="s">
        <v>1911</v>
      </c>
      <c r="B990" s="0" t="s">
        <v>1912</v>
      </c>
      <c r="C990" s="0" t="s">
        <v>899</v>
      </c>
      <c r="D990" s="0" t="s">
        <v>59</v>
      </c>
      <c r="E990" s="0" t="s">
        <v>770</v>
      </c>
      <c r="F990" s="0" t="s">
        <v>110</v>
      </c>
      <c r="G990" s="0" t="n">
        <v>4113964</v>
      </c>
      <c r="H990" s="0" t="n">
        <v>203493</v>
      </c>
      <c r="I990" s="0" t="n">
        <v>55118</v>
      </c>
      <c r="J990" s="0" t="n">
        <v>20.9</v>
      </c>
      <c r="K990" s="0" t="n">
        <v>22</v>
      </c>
      <c r="L990" s="0" t="n">
        <v>594</v>
      </c>
      <c r="M990" s="0" t="s">
        <v>54</v>
      </c>
      <c r="N990" s="0" t="s">
        <v>140</v>
      </c>
    </row>
    <row r="991" customFormat="false" ht="15" hidden="false" customHeight="false" outlineLevel="0" collapsed="false">
      <c r="A991" s="0" t="s">
        <v>1913</v>
      </c>
      <c r="B991" s="0" t="s">
        <v>1668</v>
      </c>
      <c r="C991" s="0" t="s">
        <v>532</v>
      </c>
      <c r="D991" s="0" t="s">
        <v>25</v>
      </c>
      <c r="E991" s="0" t="s">
        <v>284</v>
      </c>
      <c r="F991" s="0" t="s">
        <v>1038</v>
      </c>
      <c r="G991" s="0" t="n">
        <v>2987906</v>
      </c>
      <c r="H991" s="0" t="n">
        <v>110450</v>
      </c>
      <c r="I991" s="0" t="n">
        <v>37165</v>
      </c>
      <c r="J991" s="0" t="n">
        <v>28.9</v>
      </c>
      <c r="K991" s="0" t="n">
        <v>23</v>
      </c>
      <c r="L991" s="0" t="n">
        <v>750</v>
      </c>
      <c r="M991" s="0" t="s">
        <v>20</v>
      </c>
      <c r="N991" s="0" t="s">
        <v>55</v>
      </c>
    </row>
    <row r="992" customFormat="false" ht="15" hidden="false" customHeight="false" outlineLevel="0" collapsed="false">
      <c r="A992" s="0" t="s">
        <v>1914</v>
      </c>
      <c r="B992" s="0" t="s">
        <v>1122</v>
      </c>
      <c r="C992" s="0" t="s">
        <v>338</v>
      </c>
      <c r="D992" s="0" t="s">
        <v>144</v>
      </c>
      <c r="E992" s="0" t="s">
        <v>279</v>
      </c>
      <c r="F992" s="0" t="s">
        <v>85</v>
      </c>
      <c r="G992" s="0" t="n">
        <v>1627616</v>
      </c>
      <c r="H992" s="0" t="n">
        <v>36570</v>
      </c>
      <c r="I992" s="0" t="n">
        <v>9135</v>
      </c>
      <c r="J992" s="0" t="n">
        <v>49.9</v>
      </c>
      <c r="K992" s="0" t="n">
        <v>24</v>
      </c>
      <c r="L992" s="0" t="n">
        <v>212</v>
      </c>
      <c r="M992" s="0" t="s">
        <v>54</v>
      </c>
      <c r="N992" s="0" t="s">
        <v>21</v>
      </c>
    </row>
    <row r="993" customFormat="false" ht="15" hidden="false" customHeight="false" outlineLevel="0" collapsed="false">
      <c r="A993" s="0" t="s">
        <v>1915</v>
      </c>
      <c r="B993" s="0" t="s">
        <v>1916</v>
      </c>
      <c r="C993" s="0" t="s">
        <v>45</v>
      </c>
      <c r="D993" s="0" t="s">
        <v>109</v>
      </c>
      <c r="E993" s="0" t="s">
        <v>205</v>
      </c>
      <c r="F993" s="0" t="s">
        <v>241</v>
      </c>
      <c r="G993" s="0" t="n">
        <v>1349931</v>
      </c>
      <c r="H993" s="0" t="n">
        <v>41462</v>
      </c>
      <c r="I993" s="0" t="n">
        <v>9270</v>
      </c>
      <c r="J993" s="0" t="n">
        <v>12.2</v>
      </c>
      <c r="K993" s="0" t="n">
        <v>12</v>
      </c>
      <c r="L993" s="0" t="n">
        <v>487</v>
      </c>
      <c r="M993" s="0" t="s">
        <v>35</v>
      </c>
      <c r="N993" s="0" t="s">
        <v>122</v>
      </c>
    </row>
    <row r="994" customFormat="false" ht="15" hidden="false" customHeight="false" outlineLevel="0" collapsed="false">
      <c r="A994" s="0" t="s">
        <v>1917</v>
      </c>
      <c r="B994" s="0" t="s">
        <v>608</v>
      </c>
      <c r="C994" s="0" t="s">
        <v>478</v>
      </c>
      <c r="D994" s="0" t="s">
        <v>59</v>
      </c>
      <c r="E994" s="0" t="s">
        <v>238</v>
      </c>
      <c r="F994" s="0" t="s">
        <v>116</v>
      </c>
      <c r="G994" s="0" t="n">
        <v>3200725</v>
      </c>
      <c r="H994" s="0" t="n">
        <v>148250</v>
      </c>
      <c r="I994" s="0" t="n">
        <v>45124</v>
      </c>
      <c r="J994" s="0" t="n">
        <v>60</v>
      </c>
      <c r="K994" s="0" t="n">
        <v>16</v>
      </c>
      <c r="L994" s="0" t="n">
        <v>700</v>
      </c>
      <c r="M994" s="0" t="s">
        <v>20</v>
      </c>
      <c r="N994" s="0" t="s">
        <v>102</v>
      </c>
    </row>
    <row r="995" customFormat="false" ht="15" hidden="false" customHeight="false" outlineLevel="0" collapsed="false">
      <c r="A995" s="0" t="s">
        <v>1918</v>
      </c>
      <c r="B995" s="0" t="s">
        <v>434</v>
      </c>
      <c r="C995" s="0" t="s">
        <v>167</v>
      </c>
      <c r="D995" s="0" t="s">
        <v>32</v>
      </c>
      <c r="E995" s="0" t="s">
        <v>770</v>
      </c>
      <c r="F995" s="0" t="s">
        <v>265</v>
      </c>
      <c r="G995" s="0" t="n">
        <v>3206943</v>
      </c>
      <c r="H995" s="0" t="n">
        <v>141009</v>
      </c>
      <c r="I995" s="0" t="n">
        <v>39233</v>
      </c>
      <c r="J995" s="0" t="n">
        <v>4.7</v>
      </c>
      <c r="K995" s="0" t="n">
        <v>6</v>
      </c>
      <c r="L995" s="0" t="n">
        <v>211</v>
      </c>
      <c r="M995" s="0" t="s">
        <v>54</v>
      </c>
      <c r="N995" s="0" t="s">
        <v>102</v>
      </c>
    </row>
    <row r="996" customFormat="false" ht="15" hidden="false" customHeight="false" outlineLevel="0" collapsed="false">
      <c r="A996" s="0" t="s">
        <v>1919</v>
      </c>
      <c r="B996" s="0" t="s">
        <v>814</v>
      </c>
      <c r="C996" s="0" t="s">
        <v>1066</v>
      </c>
      <c r="D996" s="0" t="s">
        <v>71</v>
      </c>
      <c r="E996" s="0" t="s">
        <v>265</v>
      </c>
      <c r="F996" s="0" t="s">
        <v>111</v>
      </c>
      <c r="G996" s="0" t="n">
        <v>1457644</v>
      </c>
      <c r="H996" s="0" t="n">
        <v>43081</v>
      </c>
      <c r="I996" s="0" t="n">
        <v>9589</v>
      </c>
      <c r="J996" s="0" t="n">
        <v>40.2</v>
      </c>
      <c r="K996" s="0" t="n">
        <v>10</v>
      </c>
      <c r="L996" s="0" t="n">
        <v>634</v>
      </c>
      <c r="M996" s="0" t="s">
        <v>54</v>
      </c>
      <c r="N996" s="0" t="s">
        <v>140</v>
      </c>
    </row>
    <row r="997" customFormat="false" ht="15" hidden="false" customHeight="false" outlineLevel="0" collapsed="false">
      <c r="A997" s="0" t="s">
        <v>1920</v>
      </c>
      <c r="B997" s="0" t="s">
        <v>1003</v>
      </c>
      <c r="C997" s="0" t="s">
        <v>143</v>
      </c>
      <c r="D997" s="0" t="s">
        <v>109</v>
      </c>
      <c r="E997" s="0" t="s">
        <v>440</v>
      </c>
      <c r="F997" s="0" t="s">
        <v>224</v>
      </c>
      <c r="G997" s="0" t="n">
        <v>2113071</v>
      </c>
      <c r="H997" s="0" t="n">
        <v>54201</v>
      </c>
      <c r="I997" s="0" t="n">
        <v>19163</v>
      </c>
      <c r="J997" s="0" t="n">
        <v>12.1</v>
      </c>
      <c r="K997" s="0" t="n">
        <v>17</v>
      </c>
      <c r="L997" s="0" t="n">
        <v>217</v>
      </c>
      <c r="M997" s="0" t="s">
        <v>54</v>
      </c>
      <c r="N997" s="0" t="s">
        <v>67</v>
      </c>
    </row>
    <row r="998" customFormat="false" ht="15" hidden="false" customHeight="false" outlineLevel="0" collapsed="false">
      <c r="A998" s="0" t="s">
        <v>1921</v>
      </c>
      <c r="B998" s="0" t="s">
        <v>191</v>
      </c>
      <c r="C998" s="0" t="s">
        <v>367</v>
      </c>
      <c r="D998" s="0" t="s">
        <v>39</v>
      </c>
      <c r="E998" s="0" t="s">
        <v>47</v>
      </c>
      <c r="F998" s="0" t="s">
        <v>959</v>
      </c>
      <c r="G998" s="0" t="n">
        <v>1437213</v>
      </c>
      <c r="H998" s="0" t="n">
        <v>57040</v>
      </c>
      <c r="I998" s="0" t="n">
        <v>15010</v>
      </c>
      <c r="J998" s="0" t="n">
        <v>43.2</v>
      </c>
      <c r="K998" s="0" t="n">
        <v>13</v>
      </c>
      <c r="L998" s="0" t="n">
        <v>399</v>
      </c>
      <c r="M998" s="0" t="s">
        <v>20</v>
      </c>
      <c r="N998" s="0" t="s">
        <v>96</v>
      </c>
    </row>
    <row r="999" customFormat="false" ht="15" hidden="false" customHeight="false" outlineLevel="0" collapsed="false">
      <c r="A999" s="0" t="s">
        <v>1922</v>
      </c>
      <c r="B999" s="0" t="s">
        <v>1923</v>
      </c>
      <c r="C999" s="0" t="s">
        <v>401</v>
      </c>
      <c r="D999" s="0" t="s">
        <v>39</v>
      </c>
      <c r="E999" s="0" t="s">
        <v>26</v>
      </c>
      <c r="F999" s="0" t="s">
        <v>126</v>
      </c>
      <c r="G999" s="0" t="n">
        <v>2127851</v>
      </c>
      <c r="H999" s="0" t="n">
        <v>106703</v>
      </c>
      <c r="I999" s="0" t="n">
        <v>26861</v>
      </c>
      <c r="J999" s="0" t="n">
        <v>13.6</v>
      </c>
      <c r="K999" s="0" t="n">
        <v>21</v>
      </c>
      <c r="L999" s="0" t="n">
        <v>459</v>
      </c>
      <c r="M999" s="0" t="s">
        <v>20</v>
      </c>
      <c r="N999" s="0" t="s">
        <v>55</v>
      </c>
    </row>
    <row r="1000" customFormat="false" ht="15" hidden="false" customHeight="false" outlineLevel="0" collapsed="false">
      <c r="A1000" s="0" t="s">
        <v>1924</v>
      </c>
      <c r="B1000" s="0" t="s">
        <v>1925</v>
      </c>
      <c r="C1000" s="0" t="s">
        <v>327</v>
      </c>
      <c r="D1000" s="0" t="s">
        <v>17</v>
      </c>
      <c r="E1000" s="0" t="s">
        <v>292</v>
      </c>
      <c r="F1000" s="0" t="s">
        <v>27</v>
      </c>
      <c r="G1000" s="0" t="n">
        <v>2614219</v>
      </c>
      <c r="H1000" s="0" t="n">
        <v>58757</v>
      </c>
      <c r="I1000" s="0" t="n">
        <v>14757</v>
      </c>
      <c r="J1000" s="0" t="n">
        <v>49.2</v>
      </c>
      <c r="K1000" s="0" t="n">
        <v>20</v>
      </c>
      <c r="L1000" s="0" t="n">
        <v>423</v>
      </c>
      <c r="M1000" s="0" t="s">
        <v>35</v>
      </c>
      <c r="N1000" s="0" t="s">
        <v>55</v>
      </c>
    </row>
    <row r="1001" customFormat="false" ht="15" hidden="false" customHeight="false" outlineLevel="0" collapsed="false">
      <c r="A1001" s="0" t="s">
        <v>1926</v>
      </c>
      <c r="B1001" s="0" t="s">
        <v>1157</v>
      </c>
      <c r="C1001" s="0" t="s">
        <v>590</v>
      </c>
      <c r="D1001" s="0" t="s">
        <v>71</v>
      </c>
      <c r="E1001" s="0" t="s">
        <v>79</v>
      </c>
      <c r="F1001" s="0" t="s">
        <v>252</v>
      </c>
      <c r="G1001" s="0" t="n">
        <v>1835584</v>
      </c>
      <c r="H1001" s="0" t="n">
        <v>40019</v>
      </c>
      <c r="I1001" s="0" t="n">
        <v>11349</v>
      </c>
      <c r="J1001" s="0" t="n">
        <v>5.8</v>
      </c>
      <c r="K1001" s="0" t="n">
        <v>18</v>
      </c>
      <c r="L1001" s="0" t="n">
        <v>249</v>
      </c>
      <c r="M1001" s="0" t="s">
        <v>54</v>
      </c>
      <c r="N1001" s="0" t="s">
        <v>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8"/>
  </cols>
  <sheetData>
    <row r="1" customFormat="false" ht="15" hidden="false" customHeight="false" outlineLevel="0" collapsed="false">
      <c r="A1" s="1" t="s">
        <v>2</v>
      </c>
      <c r="B1" s="1" t="s">
        <v>1927</v>
      </c>
      <c r="C1" s="1" t="s">
        <v>1928</v>
      </c>
      <c r="D1" s="1" t="s">
        <v>1929</v>
      </c>
      <c r="E1" s="1" t="s">
        <v>1930</v>
      </c>
      <c r="F1" s="1" t="s">
        <v>1931</v>
      </c>
      <c r="G1" s="1" t="s">
        <v>1932</v>
      </c>
      <c r="H1" s="1" t="s">
        <v>1933</v>
      </c>
      <c r="I1" s="1" t="s">
        <v>1934</v>
      </c>
    </row>
    <row r="2" customFormat="false" ht="15" hidden="false" customHeight="false" outlineLevel="0" collapsed="false">
      <c r="A2" s="0" t="s">
        <v>513</v>
      </c>
      <c r="B2" s="0" t="n">
        <f aca="false">COUNTIF(Videos_Data!C:C,A2)</f>
        <v>3</v>
      </c>
      <c r="C2" s="0" t="n">
        <f aca="false">SUMIF(Videos_Data!C:C,A2,Videos_Data!G:G)</f>
        <v>4691625</v>
      </c>
      <c r="D2" s="0" t="n">
        <f aca="false">SUMIF(Videos_Data!C:C,A2,Videos_Data!H:H)</f>
        <v>164404</v>
      </c>
      <c r="E2" s="0" t="n">
        <f aca="false">SUMIF(Videos_Data!C:C,A2,Videos_Data!I:I)</f>
        <v>49515</v>
      </c>
      <c r="F2" s="0" t="n">
        <f aca="false">IF(B2&gt;0,C2/B2,0)</f>
        <v>1563875</v>
      </c>
      <c r="G2" s="0" t="n">
        <f aca="false">IF(B2&gt;0,D2/B2,0)</f>
        <v>54801.3333333333</v>
      </c>
      <c r="H2" s="0" t="n">
        <f aca="false">IF(C2&gt;0,((D2+E2)/C2)*100,0)</f>
        <v>4.55959289158874</v>
      </c>
      <c r="I2" s="0" t="s">
        <v>65</v>
      </c>
    </row>
    <row r="3" customFormat="false" ht="15" hidden="false" customHeight="false" outlineLevel="0" collapsed="false">
      <c r="A3" s="0" t="s">
        <v>143</v>
      </c>
      <c r="B3" s="0" t="n">
        <f aca="false">COUNTIF(Videos_Data!C:C,A3)</f>
        <v>6</v>
      </c>
      <c r="C3" s="0" t="n">
        <f aca="false">SUMIF(Videos_Data!C:C,A3,Videos_Data!G:G)</f>
        <v>13965275</v>
      </c>
      <c r="D3" s="0" t="n">
        <f aca="false">SUMIF(Videos_Data!C:C,A3,Videos_Data!H:H)</f>
        <v>372576</v>
      </c>
      <c r="E3" s="0" t="n">
        <f aca="false">SUMIF(Videos_Data!C:C,A3,Videos_Data!I:I)</f>
        <v>102865</v>
      </c>
      <c r="F3" s="0" t="n">
        <f aca="false">IF(B3&gt;0,C3/B3,0)</f>
        <v>2327545.83333333</v>
      </c>
      <c r="G3" s="0" t="n">
        <f aca="false">IF(B3&gt;0,D3/B3,0)</f>
        <v>62096</v>
      </c>
      <c r="H3" s="0" t="n">
        <f aca="false">IF(C3&gt;0,((D3+E3)/C3)*100,0)</f>
        <v>3.40445139820018</v>
      </c>
      <c r="I3" s="0" t="s">
        <v>144</v>
      </c>
    </row>
    <row r="4" customFormat="false" ht="15" hidden="false" customHeight="false" outlineLevel="0" collapsed="false">
      <c r="A4" s="0" t="s">
        <v>661</v>
      </c>
      <c r="B4" s="0" t="n">
        <f aca="false">COUNTIF(Videos_Data!C:C,A4)</f>
        <v>8</v>
      </c>
      <c r="C4" s="0" t="n">
        <f aca="false">SUMIF(Videos_Data!C:C,A4,Videos_Data!G:G)</f>
        <v>13837920</v>
      </c>
      <c r="D4" s="0" t="n">
        <f aca="false">SUMIF(Videos_Data!C:C,A4,Videos_Data!H:H)</f>
        <v>483039</v>
      </c>
      <c r="E4" s="0" t="n">
        <f aca="false">SUMIF(Videos_Data!C:C,A4,Videos_Data!I:I)</f>
        <v>142778</v>
      </c>
      <c r="F4" s="0" t="n">
        <f aca="false">IF(B4&gt;0,C4/B4,0)</f>
        <v>1729740</v>
      </c>
      <c r="G4" s="0" t="n">
        <f aca="false">IF(B4&gt;0,D4/B4,0)</f>
        <v>60379.875</v>
      </c>
      <c r="H4" s="0" t="n">
        <f aca="false">IF(C4&gt;0,((D4+E4)/C4)*100,0)</f>
        <v>4.52247881184456</v>
      </c>
      <c r="I4" s="0" t="s">
        <v>144</v>
      </c>
    </row>
    <row r="5" customFormat="false" ht="15" hidden="false" customHeight="false" outlineLevel="0" collapsed="false">
      <c r="A5" s="0" t="s">
        <v>1207</v>
      </c>
      <c r="B5" s="0" t="n">
        <f aca="false">COUNTIF(Videos_Data!C:C,A5)</f>
        <v>3</v>
      </c>
      <c r="C5" s="0" t="n">
        <f aca="false">SUMIF(Videos_Data!C:C,A5,Videos_Data!G:G)</f>
        <v>8206325</v>
      </c>
      <c r="D5" s="0" t="n">
        <f aca="false">SUMIF(Videos_Data!C:C,A5,Videos_Data!H:H)</f>
        <v>298141</v>
      </c>
      <c r="E5" s="0" t="n">
        <f aca="false">SUMIF(Videos_Data!C:C,A5,Videos_Data!I:I)</f>
        <v>75001</v>
      </c>
      <c r="F5" s="0" t="n">
        <f aca="false">IF(B5&gt;0,C5/B5,0)</f>
        <v>2735441.66666667</v>
      </c>
      <c r="G5" s="0" t="n">
        <f aca="false">IF(B5&gt;0,D5/B5,0)</f>
        <v>99380.3333333333</v>
      </c>
      <c r="H5" s="0" t="n">
        <f aca="false">IF(C5&gt;0,((D5+E5)/C5)*100,0)</f>
        <v>4.54700490170692</v>
      </c>
      <c r="I5" s="0" t="s">
        <v>25</v>
      </c>
    </row>
    <row r="6" customFormat="false" ht="15" hidden="false" customHeight="false" outlineLevel="0" collapsed="false">
      <c r="A6" s="0" t="s">
        <v>360</v>
      </c>
      <c r="B6" s="0" t="n">
        <f aca="false">COUNTIF(Videos_Data!C:C,A6)</f>
        <v>6</v>
      </c>
      <c r="C6" s="0" t="n">
        <f aca="false">SUMIF(Videos_Data!C:C,A6,Videos_Data!G:G)</f>
        <v>15747153</v>
      </c>
      <c r="D6" s="0" t="n">
        <f aca="false">SUMIF(Videos_Data!C:C,A6,Videos_Data!H:H)</f>
        <v>479688</v>
      </c>
      <c r="E6" s="0" t="n">
        <f aca="false">SUMIF(Videos_Data!C:C,A6,Videos_Data!I:I)</f>
        <v>144309</v>
      </c>
      <c r="F6" s="0" t="n">
        <f aca="false">IF(B6&gt;0,C6/B6,0)</f>
        <v>2624525.5</v>
      </c>
      <c r="G6" s="0" t="n">
        <f aca="false">IF(B6&gt;0,D6/B6,0)</f>
        <v>79948</v>
      </c>
      <c r="H6" s="0" t="n">
        <f aca="false">IF(C6&gt;0,((D6+E6)/C6)*100,0)</f>
        <v>3.96260200177137</v>
      </c>
      <c r="I6" s="0" t="s">
        <v>78</v>
      </c>
    </row>
    <row r="7" customFormat="false" ht="15" hidden="false" customHeight="false" outlineLevel="0" collapsed="false">
      <c r="A7" s="0" t="s">
        <v>388</v>
      </c>
      <c r="B7" s="0" t="n">
        <f aca="false">COUNTIF(Videos_Data!C:C,A7)</f>
        <v>7</v>
      </c>
      <c r="C7" s="0" t="n">
        <f aca="false">SUMIF(Videos_Data!C:C,A7,Videos_Data!G:G)</f>
        <v>14525009</v>
      </c>
      <c r="D7" s="0" t="n">
        <f aca="false">SUMIF(Videos_Data!C:C,A7,Videos_Data!H:H)</f>
        <v>397291</v>
      </c>
      <c r="E7" s="0" t="n">
        <f aca="false">SUMIF(Videos_Data!C:C,A7,Videos_Data!I:I)</f>
        <v>115800</v>
      </c>
      <c r="F7" s="0" t="n">
        <f aca="false">IF(B7&gt;0,C7/B7,0)</f>
        <v>2075001.28571429</v>
      </c>
      <c r="G7" s="0" t="n">
        <f aca="false">IF(B7&gt;0,D7/B7,0)</f>
        <v>56755.8571428571</v>
      </c>
      <c r="H7" s="0" t="n">
        <f aca="false">IF(C7&gt;0,((D7+E7)/C7)*100,0)</f>
        <v>3.53246596955637</v>
      </c>
      <c r="I7" s="0" t="s">
        <v>78</v>
      </c>
    </row>
    <row r="8" customFormat="false" ht="15" hidden="false" customHeight="false" outlineLevel="0" collapsed="false">
      <c r="A8" s="0" t="s">
        <v>133</v>
      </c>
      <c r="B8" s="0" t="n">
        <f aca="false">COUNTIF(Videos_Data!C:C,A8)</f>
        <v>4</v>
      </c>
      <c r="C8" s="0" t="n">
        <f aca="false">SUMIF(Videos_Data!C:C,A8,Videos_Data!G:G)</f>
        <v>10461256</v>
      </c>
      <c r="D8" s="0" t="n">
        <f aca="false">SUMIF(Videos_Data!C:C,A8,Videos_Data!H:H)</f>
        <v>341411</v>
      </c>
      <c r="E8" s="0" t="n">
        <f aca="false">SUMIF(Videos_Data!C:C,A8,Videos_Data!I:I)</f>
        <v>110708</v>
      </c>
      <c r="F8" s="0" t="n">
        <f aca="false">IF(B8&gt;0,C8/B8,0)</f>
        <v>2615314</v>
      </c>
      <c r="G8" s="0" t="n">
        <f aca="false">IF(B8&gt;0,D8/B8,0)</f>
        <v>85352.75</v>
      </c>
      <c r="H8" s="0" t="n">
        <f aca="false">IF(C8&gt;0,((D8+E8)/C8)*100,0)</f>
        <v>4.32184242503959</v>
      </c>
      <c r="I8" s="0" t="s">
        <v>89</v>
      </c>
    </row>
    <row r="9" customFormat="false" ht="15" hidden="false" customHeight="false" outlineLevel="0" collapsed="false">
      <c r="A9" s="0" t="s">
        <v>84</v>
      </c>
      <c r="B9" s="0" t="n">
        <f aca="false">COUNTIF(Videos_Data!C:C,A9)</f>
        <v>10</v>
      </c>
      <c r="C9" s="0" t="n">
        <f aca="false">SUMIF(Videos_Data!C:C,A9,Videos_Data!G:G)</f>
        <v>24712080</v>
      </c>
      <c r="D9" s="0" t="n">
        <f aca="false">SUMIF(Videos_Data!C:C,A9,Videos_Data!H:H)</f>
        <v>764472</v>
      </c>
      <c r="E9" s="0" t="n">
        <f aca="false">SUMIF(Videos_Data!C:C,A9,Videos_Data!I:I)</f>
        <v>254615</v>
      </c>
      <c r="F9" s="0" t="n">
        <f aca="false">IF(B9&gt;0,C9/B9,0)</f>
        <v>2471208</v>
      </c>
      <c r="G9" s="0" t="n">
        <f aca="false">IF(B9&gt;0,D9/B9,0)</f>
        <v>76447.2</v>
      </c>
      <c r="H9" s="0" t="n">
        <f aca="false">IF(C9&gt;0,((D9+E9)/C9)*100,0)</f>
        <v>4.12384145729538</v>
      </c>
      <c r="I9" s="0" t="s">
        <v>17</v>
      </c>
    </row>
    <row r="10" customFormat="false" ht="15" hidden="false" customHeight="false" outlineLevel="0" collapsed="false">
      <c r="A10" s="0" t="s">
        <v>500</v>
      </c>
      <c r="B10" s="0" t="n">
        <f aca="false">COUNTIF(Videos_Data!C:C,A10)</f>
        <v>6</v>
      </c>
      <c r="C10" s="0" t="n">
        <f aca="false">SUMIF(Videos_Data!C:C,A10,Videos_Data!G:G)</f>
        <v>13619909</v>
      </c>
      <c r="D10" s="0" t="n">
        <f aca="false">SUMIF(Videos_Data!C:C,A10,Videos_Data!H:H)</f>
        <v>519829</v>
      </c>
      <c r="E10" s="0" t="n">
        <f aca="false">SUMIF(Videos_Data!C:C,A10,Videos_Data!I:I)</f>
        <v>153283</v>
      </c>
      <c r="F10" s="0" t="n">
        <f aca="false">IF(B10&gt;0,C10/B10,0)</f>
        <v>2269984.83333333</v>
      </c>
      <c r="G10" s="0" t="n">
        <f aca="false">IF(B10&gt;0,D10/B10,0)</f>
        <v>86638.1666666667</v>
      </c>
      <c r="H10" s="0" t="n">
        <f aca="false">IF(C10&gt;0,((D10+E10)/C10)*100,0)</f>
        <v>4.94211818889539</v>
      </c>
      <c r="I10" s="0" t="s">
        <v>71</v>
      </c>
    </row>
    <row r="11" customFormat="false" ht="15" hidden="false" customHeight="false" outlineLevel="0" collapsed="false">
      <c r="A11" s="0" t="s">
        <v>1176</v>
      </c>
      <c r="B11" s="0" t="n">
        <f aca="false">COUNTIF(Videos_Data!C:C,A11)</f>
        <v>3</v>
      </c>
      <c r="C11" s="0" t="n">
        <f aca="false">SUMIF(Videos_Data!C:C,A11,Videos_Data!G:G)</f>
        <v>5047246</v>
      </c>
      <c r="D11" s="0" t="n">
        <f aca="false">SUMIF(Videos_Data!C:C,A11,Videos_Data!H:H)</f>
        <v>142397</v>
      </c>
      <c r="E11" s="0" t="n">
        <f aca="false">SUMIF(Videos_Data!C:C,A11,Videos_Data!I:I)</f>
        <v>43154</v>
      </c>
      <c r="F11" s="0" t="n">
        <f aca="false">IF(B11&gt;0,C11/B11,0)</f>
        <v>1682415.33333333</v>
      </c>
      <c r="G11" s="0" t="n">
        <f aca="false">IF(B11&gt;0,D11/B11,0)</f>
        <v>47465.6666666667</v>
      </c>
      <c r="H11" s="0" t="n">
        <f aca="false">IF(C11&gt;0,((D11+E11)/C11)*100,0)</f>
        <v>3.67628207541301</v>
      </c>
      <c r="I11" s="0" t="s">
        <v>17</v>
      </c>
    </row>
    <row r="12" customFormat="false" ht="15" hidden="false" customHeight="false" outlineLevel="0" collapsed="false">
      <c r="A12" s="0" t="s">
        <v>320</v>
      </c>
      <c r="B12" s="0" t="n">
        <f aca="false">COUNTIF(Videos_Data!C:C,A12)</f>
        <v>3</v>
      </c>
      <c r="C12" s="0" t="n">
        <f aca="false">SUMIF(Videos_Data!C:C,A12,Videos_Data!G:G)</f>
        <v>6991135</v>
      </c>
      <c r="D12" s="0" t="n">
        <f aca="false">SUMIF(Videos_Data!C:C,A12,Videos_Data!H:H)</f>
        <v>210329</v>
      </c>
      <c r="E12" s="0" t="n">
        <f aca="false">SUMIF(Videos_Data!C:C,A12,Videos_Data!I:I)</f>
        <v>59895</v>
      </c>
      <c r="F12" s="0" t="n">
        <f aca="false">IF(B12&gt;0,C12/B12,0)</f>
        <v>2330378.33333333</v>
      </c>
      <c r="G12" s="0" t="n">
        <f aca="false">IF(B12&gt;0,D12/B12,0)</f>
        <v>70109.6666666667</v>
      </c>
      <c r="H12" s="0" t="n">
        <f aca="false">IF(C12&gt;0,((D12+E12)/C12)*100,0)</f>
        <v>3.86523790486094</v>
      </c>
      <c r="I12" s="0" t="s">
        <v>25</v>
      </c>
    </row>
    <row r="13" customFormat="false" ht="15" hidden="false" customHeight="false" outlineLevel="0" collapsed="false">
      <c r="A13" s="0" t="s">
        <v>691</v>
      </c>
      <c r="B13" s="0" t="n">
        <f aca="false">COUNTIF(Videos_Data!C:C,A13)</f>
        <v>6</v>
      </c>
      <c r="C13" s="0" t="n">
        <f aca="false">SUMIF(Videos_Data!C:C,A13,Videos_Data!G:G)</f>
        <v>13385007</v>
      </c>
      <c r="D13" s="0" t="n">
        <f aca="false">SUMIF(Videos_Data!C:C,A13,Videos_Data!H:H)</f>
        <v>492811</v>
      </c>
      <c r="E13" s="0" t="n">
        <f aca="false">SUMIF(Videos_Data!C:C,A13,Videos_Data!I:I)</f>
        <v>122224</v>
      </c>
      <c r="F13" s="0" t="n">
        <f aca="false">IF(B13&gt;0,C13/B13,0)</f>
        <v>2230834.5</v>
      </c>
      <c r="G13" s="0" t="n">
        <f aca="false">IF(B13&gt;0,D13/B13,0)</f>
        <v>82135.1666666667</v>
      </c>
      <c r="H13" s="0" t="n">
        <f aca="false">IF(C13&gt;0,((D13+E13)/C13)*100,0)</f>
        <v>4.59495463842492</v>
      </c>
      <c r="I13" s="0" t="s">
        <v>25</v>
      </c>
    </row>
    <row r="14" customFormat="false" ht="15" hidden="false" customHeight="false" outlineLevel="0" collapsed="false">
      <c r="A14" s="0" t="s">
        <v>1296</v>
      </c>
      <c r="B14" s="0" t="n">
        <f aca="false">COUNTIF(Videos_Data!C:C,A14)</f>
        <v>3</v>
      </c>
      <c r="C14" s="0" t="n">
        <f aca="false">SUMIF(Videos_Data!C:C,A14,Videos_Data!G:G)</f>
        <v>4420842</v>
      </c>
      <c r="D14" s="0" t="n">
        <f aca="false">SUMIF(Videos_Data!C:C,A14,Videos_Data!H:H)</f>
        <v>137967</v>
      </c>
      <c r="E14" s="0" t="n">
        <f aca="false">SUMIF(Videos_Data!C:C,A14,Videos_Data!I:I)</f>
        <v>37601</v>
      </c>
      <c r="F14" s="0" t="n">
        <f aca="false">IF(B14&gt;0,C14/B14,0)</f>
        <v>1473614</v>
      </c>
      <c r="G14" s="0" t="n">
        <f aca="false">IF(B14&gt;0,D14/B14,0)</f>
        <v>45989</v>
      </c>
      <c r="H14" s="0" t="n">
        <f aca="false">IF(C14&gt;0,((D14+E14)/C14)*100,0)</f>
        <v>3.97137015980214</v>
      </c>
      <c r="I14" s="0" t="s">
        <v>32</v>
      </c>
    </row>
    <row r="15" customFormat="false" ht="15" hidden="false" customHeight="false" outlineLevel="0" collapsed="false">
      <c r="A15" s="0" t="s">
        <v>345</v>
      </c>
      <c r="B15" s="0" t="n">
        <f aca="false">COUNTIF(Videos_Data!C:C,A15)</f>
        <v>6</v>
      </c>
      <c r="C15" s="0" t="n">
        <f aca="false">SUMIF(Videos_Data!C:C,A15,Videos_Data!G:G)</f>
        <v>14264227</v>
      </c>
      <c r="D15" s="0" t="n">
        <f aca="false">SUMIF(Videos_Data!C:C,A15,Videos_Data!H:H)</f>
        <v>574657</v>
      </c>
      <c r="E15" s="0" t="n">
        <f aca="false">SUMIF(Videos_Data!C:C,A15,Videos_Data!I:I)</f>
        <v>191467</v>
      </c>
      <c r="F15" s="0" t="n">
        <f aca="false">IF(B15&gt;0,C15/B15,0)</f>
        <v>2377371.16666667</v>
      </c>
      <c r="G15" s="0" t="n">
        <f aca="false">IF(B15&gt;0,D15/B15,0)</f>
        <v>95776.1666666667</v>
      </c>
      <c r="H15" s="0" t="n">
        <f aca="false">IF(C15&gt;0,((D15+E15)/C15)*100,0)</f>
        <v>5.37094649433159</v>
      </c>
      <c r="I15" s="0" t="s">
        <v>89</v>
      </c>
    </row>
    <row r="16" customFormat="false" ht="15" hidden="false" customHeight="false" outlineLevel="0" collapsed="false">
      <c r="A16" s="0" t="s">
        <v>167</v>
      </c>
      <c r="B16" s="0" t="n">
        <f aca="false">COUNTIF(Videos_Data!C:C,A16)</f>
        <v>11</v>
      </c>
      <c r="C16" s="0" t="n">
        <f aca="false">SUMIF(Videos_Data!C:C,A16,Videos_Data!G:G)</f>
        <v>25841996</v>
      </c>
      <c r="D16" s="0" t="n">
        <f aca="false">SUMIF(Videos_Data!C:C,A16,Videos_Data!H:H)</f>
        <v>1048190</v>
      </c>
      <c r="E16" s="0" t="n">
        <f aca="false">SUMIF(Videos_Data!C:C,A16,Videos_Data!I:I)</f>
        <v>286184</v>
      </c>
      <c r="F16" s="0" t="n">
        <f aca="false">IF(B16&gt;0,C16/B16,0)</f>
        <v>2349272.36363636</v>
      </c>
      <c r="G16" s="0" t="n">
        <f aca="false">IF(B16&gt;0,D16/B16,0)</f>
        <v>95290</v>
      </c>
      <c r="H16" s="0" t="n">
        <f aca="false">IF(C16&gt;0,((D16+E16)/C16)*100,0)</f>
        <v>5.16358720897565</v>
      </c>
      <c r="I16" s="0" t="s">
        <v>39</v>
      </c>
    </row>
    <row r="17" customFormat="false" ht="15" hidden="false" customHeight="false" outlineLevel="0" collapsed="false">
      <c r="A17" s="0" t="s">
        <v>362</v>
      </c>
      <c r="B17" s="0" t="n">
        <f aca="false">COUNTIF(Videos_Data!C:C,A17)</f>
        <v>7</v>
      </c>
      <c r="C17" s="0" t="n">
        <f aca="false">SUMIF(Videos_Data!C:C,A17,Videos_Data!G:G)</f>
        <v>22037135</v>
      </c>
      <c r="D17" s="0" t="n">
        <f aca="false">SUMIF(Videos_Data!C:C,A17,Videos_Data!H:H)</f>
        <v>714022</v>
      </c>
      <c r="E17" s="0" t="n">
        <f aca="false">SUMIF(Videos_Data!C:C,A17,Videos_Data!I:I)</f>
        <v>230297</v>
      </c>
      <c r="F17" s="0" t="n">
        <f aca="false">IF(B17&gt;0,C17/B17,0)</f>
        <v>3148162.14285714</v>
      </c>
      <c r="G17" s="0" t="n">
        <f aca="false">IF(B17&gt;0,D17/B17,0)</f>
        <v>102003.142857143</v>
      </c>
      <c r="H17" s="0" t="n">
        <f aca="false">IF(C17&gt;0,((D17+E17)/C17)*100,0)</f>
        <v>4.28512599301134</v>
      </c>
      <c r="I17" s="0" t="s">
        <v>78</v>
      </c>
    </row>
    <row r="18" customFormat="false" ht="15" hidden="false" customHeight="false" outlineLevel="0" collapsed="false">
      <c r="A18" s="0" t="s">
        <v>1142</v>
      </c>
      <c r="B18" s="0" t="n">
        <f aca="false">COUNTIF(Videos_Data!C:C,A18)</f>
        <v>5</v>
      </c>
      <c r="C18" s="0" t="n">
        <f aca="false">SUMIF(Videos_Data!C:C,A18,Videos_Data!G:G)</f>
        <v>11919784</v>
      </c>
      <c r="D18" s="0" t="n">
        <f aca="false">SUMIF(Videos_Data!C:C,A18,Videos_Data!H:H)</f>
        <v>371652</v>
      </c>
      <c r="E18" s="0" t="n">
        <f aca="false">SUMIF(Videos_Data!C:C,A18,Videos_Data!I:I)</f>
        <v>105102</v>
      </c>
      <c r="F18" s="0" t="n">
        <f aca="false">IF(B18&gt;0,C18/B18,0)</f>
        <v>2383956.8</v>
      </c>
      <c r="G18" s="0" t="n">
        <f aca="false">IF(B18&gt;0,D18/B18,0)</f>
        <v>74330.4</v>
      </c>
      <c r="H18" s="0" t="n">
        <f aca="false">IF(C18&gt;0,((D18+E18)/C18)*100,0)</f>
        <v>3.99968657150163</v>
      </c>
      <c r="I18" s="0" t="s">
        <v>32</v>
      </c>
    </row>
    <row r="19" customFormat="false" ht="15" hidden="false" customHeight="false" outlineLevel="0" collapsed="false">
      <c r="A19" s="0" t="s">
        <v>800</v>
      </c>
      <c r="B19" s="0" t="n">
        <f aca="false">COUNTIF(Videos_Data!C:C,A19)</f>
        <v>9</v>
      </c>
      <c r="C19" s="0" t="n">
        <f aca="false">SUMIF(Videos_Data!C:C,A19,Videos_Data!G:G)</f>
        <v>20030202</v>
      </c>
      <c r="D19" s="0" t="n">
        <f aca="false">SUMIF(Videos_Data!C:C,A19,Videos_Data!H:H)</f>
        <v>613065</v>
      </c>
      <c r="E19" s="0" t="n">
        <f aca="false">SUMIF(Videos_Data!C:C,A19,Videos_Data!I:I)</f>
        <v>178966</v>
      </c>
      <c r="F19" s="0" t="n">
        <f aca="false">IF(B19&gt;0,C19/B19,0)</f>
        <v>2225578</v>
      </c>
      <c r="G19" s="0" t="n">
        <f aca="false">IF(B19&gt;0,D19/B19,0)</f>
        <v>68118.3333333333</v>
      </c>
      <c r="H19" s="0" t="n">
        <f aca="false">IF(C19&gt;0,((D19+E19)/C19)*100,0)</f>
        <v>3.95418378706316</v>
      </c>
      <c r="I19" s="0" t="s">
        <v>71</v>
      </c>
    </row>
    <row r="20" customFormat="false" ht="15" hidden="false" customHeight="false" outlineLevel="0" collapsed="false">
      <c r="A20" s="0" t="s">
        <v>714</v>
      </c>
      <c r="B20" s="0" t="n">
        <f aca="false">COUNTIF(Videos_Data!C:C,A20)</f>
        <v>7</v>
      </c>
      <c r="C20" s="0" t="n">
        <f aca="false">SUMIF(Videos_Data!C:C,A20,Videos_Data!G:G)</f>
        <v>21417551</v>
      </c>
      <c r="D20" s="0" t="n">
        <f aca="false">SUMIF(Videos_Data!C:C,A20,Videos_Data!H:H)</f>
        <v>732998</v>
      </c>
      <c r="E20" s="0" t="n">
        <f aca="false">SUMIF(Videos_Data!C:C,A20,Videos_Data!I:I)</f>
        <v>211472</v>
      </c>
      <c r="F20" s="0" t="n">
        <f aca="false">IF(B20&gt;0,C20/B20,0)</f>
        <v>3059650.14285714</v>
      </c>
      <c r="G20" s="0" t="n">
        <f aca="false">IF(B20&gt;0,D20/B20,0)</f>
        <v>104714</v>
      </c>
      <c r="H20" s="0" t="n">
        <f aca="false">IF(C20&gt;0,((D20+E20)/C20)*100,0)</f>
        <v>4.4097945652143</v>
      </c>
      <c r="I20" s="0" t="s">
        <v>144</v>
      </c>
    </row>
    <row r="21" customFormat="false" ht="15" hidden="false" customHeight="false" outlineLevel="0" collapsed="false">
      <c r="A21" s="0" t="s">
        <v>641</v>
      </c>
      <c r="B21" s="0" t="n">
        <f aca="false">COUNTIF(Videos_Data!C:C,A21)</f>
        <v>4</v>
      </c>
      <c r="C21" s="0" t="n">
        <f aca="false">SUMIF(Videos_Data!C:C,A21,Videos_Data!G:G)</f>
        <v>6640586</v>
      </c>
      <c r="D21" s="0" t="n">
        <f aca="false">SUMIF(Videos_Data!C:C,A21,Videos_Data!H:H)</f>
        <v>202229</v>
      </c>
      <c r="E21" s="0" t="n">
        <f aca="false">SUMIF(Videos_Data!C:C,A21,Videos_Data!I:I)</f>
        <v>57058</v>
      </c>
      <c r="F21" s="0" t="n">
        <f aca="false">IF(B21&gt;0,C21/B21,0)</f>
        <v>1660146.5</v>
      </c>
      <c r="G21" s="0" t="n">
        <f aca="false">IF(B21&gt;0,D21/B21,0)</f>
        <v>50557.25</v>
      </c>
      <c r="H21" s="0" t="n">
        <f aca="false">IF(C21&gt;0,((D21+E21)/C21)*100,0)</f>
        <v>3.90458010783988</v>
      </c>
      <c r="I21" s="0" t="s">
        <v>89</v>
      </c>
    </row>
    <row r="22" customFormat="false" ht="15" hidden="false" customHeight="false" outlineLevel="0" collapsed="false">
      <c r="A22" s="0" t="s">
        <v>827</v>
      </c>
      <c r="B22" s="0" t="n">
        <f aca="false">COUNTIF(Videos_Data!C:C,A22)</f>
        <v>6</v>
      </c>
      <c r="C22" s="0" t="n">
        <f aca="false">SUMIF(Videos_Data!C:C,A22,Videos_Data!G:G)</f>
        <v>11758522</v>
      </c>
      <c r="D22" s="0" t="n">
        <f aca="false">SUMIF(Videos_Data!C:C,A22,Videos_Data!H:H)</f>
        <v>373096</v>
      </c>
      <c r="E22" s="0" t="n">
        <f aca="false">SUMIF(Videos_Data!C:C,A22,Videos_Data!I:I)</f>
        <v>109106</v>
      </c>
      <c r="F22" s="0" t="n">
        <f aca="false">IF(B22&gt;0,C22/B22,0)</f>
        <v>1959753.66666667</v>
      </c>
      <c r="G22" s="0" t="n">
        <f aca="false">IF(B22&gt;0,D22/B22,0)</f>
        <v>62182.6666666667</v>
      </c>
      <c r="H22" s="0" t="n">
        <f aca="false">IF(C22&gt;0,((D22+E22)/C22)*100,0)</f>
        <v>4.10087254163406</v>
      </c>
      <c r="I22" s="0" t="s">
        <v>78</v>
      </c>
    </row>
    <row r="23" customFormat="false" ht="15" hidden="false" customHeight="false" outlineLevel="0" collapsed="false">
      <c r="A23" s="0" t="s">
        <v>406</v>
      </c>
      <c r="B23" s="0" t="n">
        <f aca="false">COUNTIF(Videos_Data!C:C,A23)</f>
        <v>7</v>
      </c>
      <c r="C23" s="0" t="n">
        <f aca="false">SUMIF(Videos_Data!C:C,A23,Videos_Data!G:G)</f>
        <v>16158859</v>
      </c>
      <c r="D23" s="0" t="n">
        <f aca="false">SUMIF(Videos_Data!C:C,A23,Videos_Data!H:H)</f>
        <v>536826</v>
      </c>
      <c r="E23" s="0" t="n">
        <f aca="false">SUMIF(Videos_Data!C:C,A23,Videos_Data!I:I)</f>
        <v>141058</v>
      </c>
      <c r="F23" s="0" t="n">
        <f aca="false">IF(B23&gt;0,C23/B23,0)</f>
        <v>2308408.42857143</v>
      </c>
      <c r="G23" s="0" t="n">
        <f aca="false">IF(B23&gt;0,D23/B23,0)</f>
        <v>76689.4285714286</v>
      </c>
      <c r="H23" s="0" t="n">
        <f aca="false">IF(C23&gt;0,((D23+E23)/C23)*100,0)</f>
        <v>4.19512293535082</v>
      </c>
      <c r="I23" s="0" t="s">
        <v>25</v>
      </c>
    </row>
    <row r="24" customFormat="false" ht="15" hidden="false" customHeight="false" outlineLevel="0" collapsed="false">
      <c r="A24" s="0" t="s">
        <v>505</v>
      </c>
      <c r="B24" s="0" t="n">
        <f aca="false">COUNTIF(Videos_Data!C:C,A24)</f>
        <v>4</v>
      </c>
      <c r="C24" s="0" t="n">
        <f aca="false">SUMIF(Videos_Data!C:C,A24,Videos_Data!G:G)</f>
        <v>15589700</v>
      </c>
      <c r="D24" s="0" t="n">
        <f aca="false">SUMIF(Videos_Data!C:C,A24,Videos_Data!H:H)</f>
        <v>617573</v>
      </c>
      <c r="E24" s="0" t="n">
        <f aca="false">SUMIF(Videos_Data!C:C,A24,Videos_Data!I:I)</f>
        <v>184686</v>
      </c>
      <c r="F24" s="0" t="n">
        <f aca="false">IF(B24&gt;0,C24/B24,0)</f>
        <v>3897425</v>
      </c>
      <c r="G24" s="0" t="n">
        <f aca="false">IF(B24&gt;0,D24/B24,0)</f>
        <v>154393.25</v>
      </c>
      <c r="H24" s="0" t="n">
        <f aca="false">IF(C24&gt;0,((D24+E24)/C24)*100,0)</f>
        <v>5.14608363214173</v>
      </c>
      <c r="I24" s="0" t="s">
        <v>109</v>
      </c>
    </row>
    <row r="25" customFormat="false" ht="15" hidden="false" customHeight="false" outlineLevel="0" collapsed="false">
      <c r="A25" s="0" t="s">
        <v>698</v>
      </c>
      <c r="B25" s="0" t="n">
        <f aca="false">COUNTIF(Videos_Data!C:C,A25)</f>
        <v>7</v>
      </c>
      <c r="C25" s="0" t="n">
        <f aca="false">SUMIF(Videos_Data!C:C,A25,Videos_Data!G:G)</f>
        <v>15744633</v>
      </c>
      <c r="D25" s="0" t="n">
        <f aca="false">SUMIF(Videos_Data!C:C,A25,Videos_Data!H:H)</f>
        <v>450709</v>
      </c>
      <c r="E25" s="0" t="n">
        <f aca="false">SUMIF(Videos_Data!C:C,A25,Videos_Data!I:I)</f>
        <v>133401</v>
      </c>
      <c r="F25" s="0" t="n">
        <f aca="false">IF(B25&gt;0,C25/B25,0)</f>
        <v>2249233.28571429</v>
      </c>
      <c r="G25" s="0" t="n">
        <f aca="false">IF(B25&gt;0,D25/B25,0)</f>
        <v>64387</v>
      </c>
      <c r="H25" s="0" t="n">
        <f aca="false">IF(C25&gt;0,((D25+E25)/C25)*100,0)</f>
        <v>3.70989911292312</v>
      </c>
      <c r="I25" s="0" t="s">
        <v>78</v>
      </c>
    </row>
    <row r="26" customFormat="false" ht="15" hidden="false" customHeight="false" outlineLevel="0" collapsed="false">
      <c r="A26" s="0" t="s">
        <v>701</v>
      </c>
      <c r="B26" s="0" t="n">
        <f aca="false">COUNTIF(Videos_Data!C:C,A26)</f>
        <v>10</v>
      </c>
      <c r="C26" s="0" t="n">
        <f aca="false">SUMIF(Videos_Data!C:C,A26,Videos_Data!G:G)</f>
        <v>26170942</v>
      </c>
      <c r="D26" s="0" t="n">
        <f aca="false">SUMIF(Videos_Data!C:C,A26,Videos_Data!H:H)</f>
        <v>987630</v>
      </c>
      <c r="E26" s="0" t="n">
        <f aca="false">SUMIF(Videos_Data!C:C,A26,Videos_Data!I:I)</f>
        <v>283227</v>
      </c>
      <c r="F26" s="0" t="n">
        <f aca="false">IF(B26&gt;0,C26/B26,0)</f>
        <v>2617094.2</v>
      </c>
      <c r="G26" s="0" t="n">
        <f aca="false">IF(B26&gt;0,D26/B26,0)</f>
        <v>98763</v>
      </c>
      <c r="H26" s="0" t="n">
        <f aca="false">IF(C26&gt;0,((D26+E26)/C26)*100,0)</f>
        <v>4.85598493168492</v>
      </c>
      <c r="I26" s="0" t="s">
        <v>109</v>
      </c>
    </row>
    <row r="27" customFormat="false" ht="15" hidden="false" customHeight="false" outlineLevel="0" collapsed="false">
      <c r="A27" s="0" t="s">
        <v>1012</v>
      </c>
      <c r="B27" s="0" t="n">
        <f aca="false">COUNTIF(Videos_Data!C:C,A27)</f>
        <v>5</v>
      </c>
      <c r="C27" s="0" t="n">
        <f aca="false">SUMIF(Videos_Data!C:C,A27,Videos_Data!G:G)</f>
        <v>14177472</v>
      </c>
      <c r="D27" s="0" t="n">
        <f aca="false">SUMIF(Videos_Data!C:C,A27,Videos_Data!H:H)</f>
        <v>518976</v>
      </c>
      <c r="E27" s="0" t="n">
        <f aca="false">SUMIF(Videos_Data!C:C,A27,Videos_Data!I:I)</f>
        <v>151589</v>
      </c>
      <c r="F27" s="0" t="n">
        <f aca="false">IF(B27&gt;0,C27/B27,0)</f>
        <v>2835494.4</v>
      </c>
      <c r="G27" s="0" t="n">
        <f aca="false">IF(B27&gt;0,D27/B27,0)</f>
        <v>103795.2</v>
      </c>
      <c r="H27" s="0" t="n">
        <f aca="false">IF(C27&gt;0,((D27+E27)/C27)*100,0)</f>
        <v>4.72979244818822</v>
      </c>
      <c r="I27" s="0" t="s">
        <v>25</v>
      </c>
    </row>
    <row r="28" customFormat="false" ht="15" hidden="false" customHeight="false" outlineLevel="0" collapsed="false">
      <c r="A28" s="0" t="s">
        <v>223</v>
      </c>
      <c r="B28" s="0" t="n">
        <f aca="false">COUNTIF(Videos_Data!C:C,A28)</f>
        <v>5</v>
      </c>
      <c r="C28" s="0" t="n">
        <f aca="false">SUMIF(Videos_Data!C:C,A28,Videos_Data!G:G)</f>
        <v>12227685</v>
      </c>
      <c r="D28" s="0" t="n">
        <f aca="false">SUMIF(Videos_Data!C:C,A28,Videos_Data!H:H)</f>
        <v>434607</v>
      </c>
      <c r="E28" s="0" t="n">
        <f aca="false">SUMIF(Videos_Data!C:C,A28,Videos_Data!I:I)</f>
        <v>133972</v>
      </c>
      <c r="F28" s="0" t="n">
        <f aca="false">IF(B28&gt;0,C28/B28,0)</f>
        <v>2445537</v>
      </c>
      <c r="G28" s="0" t="n">
        <f aca="false">IF(B28&gt;0,D28/B28,0)</f>
        <v>86921.4</v>
      </c>
      <c r="H28" s="0" t="n">
        <f aca="false">IF(C28&gt;0,((D28+E28)/C28)*100,0)</f>
        <v>4.64993169189425</v>
      </c>
      <c r="I28" s="0" t="s">
        <v>39</v>
      </c>
    </row>
    <row r="29" customFormat="false" ht="15" hidden="false" customHeight="false" outlineLevel="0" collapsed="false">
      <c r="A29" s="0" t="s">
        <v>58</v>
      </c>
      <c r="B29" s="0" t="n">
        <f aca="false">COUNTIF(Videos_Data!C:C,A29)</f>
        <v>3</v>
      </c>
      <c r="C29" s="0" t="n">
        <f aca="false">SUMIF(Videos_Data!C:C,A29,Videos_Data!G:G)</f>
        <v>9286053</v>
      </c>
      <c r="D29" s="0" t="n">
        <f aca="false">SUMIF(Videos_Data!C:C,A29,Videos_Data!H:H)</f>
        <v>386931</v>
      </c>
      <c r="E29" s="0" t="n">
        <f aca="false">SUMIF(Videos_Data!C:C,A29,Videos_Data!I:I)</f>
        <v>94770</v>
      </c>
      <c r="F29" s="0" t="n">
        <f aca="false">IF(B29&gt;0,C29/B29,0)</f>
        <v>3095351</v>
      </c>
      <c r="G29" s="0" t="n">
        <f aca="false">IF(B29&gt;0,D29/B29,0)</f>
        <v>128977</v>
      </c>
      <c r="H29" s="0" t="n">
        <f aca="false">IF(C29&gt;0,((D29+E29)/C29)*100,0)</f>
        <v>5.18736001183711</v>
      </c>
      <c r="I29" s="0" t="s">
        <v>46</v>
      </c>
    </row>
    <row r="30" customFormat="false" ht="15" hidden="false" customHeight="false" outlineLevel="0" collapsed="false">
      <c r="A30" s="0" t="s">
        <v>526</v>
      </c>
      <c r="B30" s="0" t="n">
        <f aca="false">COUNTIF(Videos_Data!C:C,A30)</f>
        <v>3</v>
      </c>
      <c r="C30" s="0" t="n">
        <f aca="false">SUMIF(Videos_Data!C:C,A30,Videos_Data!G:G)</f>
        <v>7301057</v>
      </c>
      <c r="D30" s="0" t="n">
        <f aca="false">SUMIF(Videos_Data!C:C,A30,Videos_Data!H:H)</f>
        <v>297480</v>
      </c>
      <c r="E30" s="0" t="n">
        <f aca="false">SUMIF(Videos_Data!C:C,A30,Videos_Data!I:I)</f>
        <v>96240</v>
      </c>
      <c r="F30" s="0" t="n">
        <f aca="false">IF(B30&gt;0,C30/B30,0)</f>
        <v>2433685.66666667</v>
      </c>
      <c r="G30" s="0" t="n">
        <f aca="false">IF(B30&gt;0,D30/B30,0)</f>
        <v>99160</v>
      </c>
      <c r="H30" s="0" t="n">
        <f aca="false">IF(C30&gt;0,((D30+E30)/C30)*100,0)</f>
        <v>5.39264383225607</v>
      </c>
      <c r="I30" s="0" t="s">
        <v>109</v>
      </c>
    </row>
    <row r="31" customFormat="false" ht="15" hidden="false" customHeight="false" outlineLevel="0" collapsed="false">
      <c r="A31" s="0" t="s">
        <v>427</v>
      </c>
      <c r="B31" s="0" t="n">
        <f aca="false">COUNTIF(Videos_Data!C:C,A31)</f>
        <v>5</v>
      </c>
      <c r="C31" s="0" t="n">
        <f aca="false">SUMIF(Videos_Data!C:C,A31,Videos_Data!G:G)</f>
        <v>10820364</v>
      </c>
      <c r="D31" s="0" t="n">
        <f aca="false">SUMIF(Videos_Data!C:C,A31,Videos_Data!H:H)</f>
        <v>379829</v>
      </c>
      <c r="E31" s="0" t="n">
        <f aca="false">SUMIF(Videos_Data!C:C,A31,Videos_Data!I:I)</f>
        <v>108078</v>
      </c>
      <c r="F31" s="0" t="n">
        <f aca="false">IF(B31&gt;0,C31/B31,0)</f>
        <v>2164072.8</v>
      </c>
      <c r="G31" s="0" t="n">
        <f aca="false">IF(B31&gt;0,D31/B31,0)</f>
        <v>75965.8</v>
      </c>
      <c r="H31" s="0" t="n">
        <f aca="false">IF(C31&gt;0,((D31+E31)/C31)*100,0)</f>
        <v>4.50915514487313</v>
      </c>
      <c r="I31" s="0" t="s">
        <v>39</v>
      </c>
    </row>
    <row r="32" customFormat="false" ht="15" hidden="false" customHeight="false" outlineLevel="0" collapsed="false">
      <c r="A32" s="0" t="s">
        <v>824</v>
      </c>
      <c r="B32" s="0" t="n">
        <f aca="false">COUNTIF(Videos_Data!C:C,A32)</f>
        <v>2</v>
      </c>
      <c r="C32" s="0" t="n">
        <f aca="false">SUMIF(Videos_Data!C:C,A32,Videos_Data!G:G)</f>
        <v>3489111</v>
      </c>
      <c r="D32" s="0" t="n">
        <f aca="false">SUMIF(Videos_Data!C:C,A32,Videos_Data!H:H)</f>
        <v>148547</v>
      </c>
      <c r="E32" s="0" t="n">
        <f aca="false">SUMIF(Videos_Data!C:C,A32,Videos_Data!I:I)</f>
        <v>45259</v>
      </c>
      <c r="F32" s="0" t="n">
        <f aca="false">IF(B32&gt;0,C32/B32,0)</f>
        <v>1744555.5</v>
      </c>
      <c r="G32" s="0" t="n">
        <f aca="false">IF(B32&gt;0,D32/B32,0)</f>
        <v>74273.5</v>
      </c>
      <c r="H32" s="0" t="n">
        <f aca="false">IF(C32&gt;0,((D32+E32)/C32)*100,0)</f>
        <v>5.55459542559695</v>
      </c>
      <c r="I32" s="0" t="s">
        <v>65</v>
      </c>
    </row>
    <row r="33" customFormat="false" ht="15" hidden="false" customHeight="false" outlineLevel="0" collapsed="false">
      <c r="A33" s="0" t="s">
        <v>795</v>
      </c>
      <c r="B33" s="0" t="n">
        <f aca="false">COUNTIF(Videos_Data!C:C,A33)</f>
        <v>4</v>
      </c>
      <c r="C33" s="0" t="n">
        <f aca="false">SUMIF(Videos_Data!C:C,A33,Videos_Data!G:G)</f>
        <v>9990380</v>
      </c>
      <c r="D33" s="0" t="n">
        <f aca="false">SUMIF(Videos_Data!C:C,A33,Videos_Data!H:H)</f>
        <v>342335</v>
      </c>
      <c r="E33" s="0" t="n">
        <f aca="false">SUMIF(Videos_Data!C:C,A33,Videos_Data!I:I)</f>
        <v>113523</v>
      </c>
      <c r="F33" s="0" t="n">
        <f aca="false">IF(B33&gt;0,C33/B33,0)</f>
        <v>2497595</v>
      </c>
      <c r="G33" s="0" t="n">
        <f aca="false">IF(B33&gt;0,D33/B33,0)</f>
        <v>85583.75</v>
      </c>
      <c r="H33" s="0" t="n">
        <f aca="false">IF(C33&gt;0,((D33+E33)/C33)*100,0)</f>
        <v>4.56296957673282</v>
      </c>
      <c r="I33" s="0" t="s">
        <v>32</v>
      </c>
    </row>
    <row r="34" customFormat="false" ht="15" hidden="false" customHeight="false" outlineLevel="0" collapsed="false">
      <c r="A34" s="0" t="s">
        <v>301</v>
      </c>
      <c r="B34" s="0" t="n">
        <f aca="false">COUNTIF(Videos_Data!C:C,A34)</f>
        <v>3</v>
      </c>
      <c r="C34" s="0" t="n">
        <f aca="false">SUMIF(Videos_Data!C:C,A34,Videos_Data!G:G)</f>
        <v>9107140</v>
      </c>
      <c r="D34" s="0" t="n">
        <f aca="false">SUMIF(Videos_Data!C:C,A34,Videos_Data!H:H)</f>
        <v>250126</v>
      </c>
      <c r="E34" s="0" t="n">
        <f aca="false">SUMIF(Videos_Data!C:C,A34,Videos_Data!I:I)</f>
        <v>71504</v>
      </c>
      <c r="F34" s="0" t="n">
        <f aca="false">IF(B34&gt;0,C34/B34,0)</f>
        <v>3035713.33333333</v>
      </c>
      <c r="G34" s="0" t="n">
        <f aca="false">IF(B34&gt;0,D34/B34,0)</f>
        <v>83375.3333333333</v>
      </c>
      <c r="H34" s="0" t="n">
        <f aca="false">IF(C34&gt;0,((D34+E34)/C34)*100,0)</f>
        <v>3.53162463737244</v>
      </c>
      <c r="I34" s="0" t="s">
        <v>109</v>
      </c>
    </row>
    <row r="35" customFormat="false" ht="15" hidden="false" customHeight="false" outlineLevel="0" collapsed="false">
      <c r="A35" s="0" t="s">
        <v>535</v>
      </c>
      <c r="B35" s="0" t="n">
        <f aca="false">COUNTIF(Videos_Data!C:C,A35)</f>
        <v>5</v>
      </c>
      <c r="C35" s="0" t="n">
        <f aca="false">SUMIF(Videos_Data!C:C,A35,Videos_Data!G:G)</f>
        <v>19503773</v>
      </c>
      <c r="D35" s="0" t="n">
        <f aca="false">SUMIF(Videos_Data!C:C,A35,Videos_Data!H:H)</f>
        <v>687970</v>
      </c>
      <c r="E35" s="0" t="n">
        <f aca="false">SUMIF(Videos_Data!C:C,A35,Videos_Data!I:I)</f>
        <v>203649</v>
      </c>
      <c r="F35" s="0" t="n">
        <f aca="false">IF(B35&gt;0,C35/B35,0)</f>
        <v>3900754.6</v>
      </c>
      <c r="G35" s="0" t="n">
        <f aca="false">IF(B35&gt;0,D35/B35,0)</f>
        <v>137594</v>
      </c>
      <c r="H35" s="0" t="n">
        <f aca="false">IF(C35&gt;0,((D35+E35)/C35)*100,0)</f>
        <v>4.57152059757873</v>
      </c>
      <c r="I35" s="0" t="s">
        <v>39</v>
      </c>
    </row>
    <row r="36" customFormat="false" ht="15" hidden="false" customHeight="false" outlineLevel="0" collapsed="false">
      <c r="A36" s="0" t="s">
        <v>24</v>
      </c>
      <c r="B36" s="0" t="n">
        <f aca="false">COUNTIF(Videos_Data!C:C,A36)</f>
        <v>13</v>
      </c>
      <c r="C36" s="0" t="n">
        <f aca="false">SUMIF(Videos_Data!C:C,A36,Videos_Data!G:G)</f>
        <v>30155283</v>
      </c>
      <c r="D36" s="0" t="n">
        <f aca="false">SUMIF(Videos_Data!C:C,A36,Videos_Data!H:H)</f>
        <v>973604</v>
      </c>
      <c r="E36" s="0" t="n">
        <f aca="false">SUMIF(Videos_Data!C:C,A36,Videos_Data!I:I)</f>
        <v>278797</v>
      </c>
      <c r="F36" s="0" t="n">
        <f aca="false">IF(B36&gt;0,C36/B36,0)</f>
        <v>2319637.15384615</v>
      </c>
      <c r="G36" s="0" t="n">
        <f aca="false">IF(B36&gt;0,D36/B36,0)</f>
        <v>74892.6153846154</v>
      </c>
      <c r="H36" s="0" t="n">
        <f aca="false">IF(C36&gt;0,((D36+E36)/C36)*100,0)</f>
        <v>4.15317276246421</v>
      </c>
      <c r="I36" s="0" t="s">
        <v>17</v>
      </c>
    </row>
    <row r="37" customFormat="false" ht="15" hidden="false" customHeight="false" outlineLevel="0" collapsed="false">
      <c r="A37" s="0" t="s">
        <v>196</v>
      </c>
      <c r="B37" s="0" t="n">
        <f aca="false">COUNTIF(Videos_Data!C:C,A37)</f>
        <v>7</v>
      </c>
      <c r="C37" s="0" t="n">
        <f aca="false">SUMIF(Videos_Data!C:C,A37,Videos_Data!G:G)</f>
        <v>23900498</v>
      </c>
      <c r="D37" s="0" t="n">
        <f aca="false">SUMIF(Videos_Data!C:C,A37,Videos_Data!H:H)</f>
        <v>912480</v>
      </c>
      <c r="E37" s="0" t="n">
        <f aca="false">SUMIF(Videos_Data!C:C,A37,Videos_Data!I:I)</f>
        <v>256982</v>
      </c>
      <c r="F37" s="0" t="n">
        <f aca="false">IF(B37&gt;0,C37/B37,0)</f>
        <v>3414356.85714286</v>
      </c>
      <c r="G37" s="0" t="n">
        <f aca="false">IF(B37&gt;0,D37/B37,0)</f>
        <v>130354.285714286</v>
      </c>
      <c r="H37" s="0" t="n">
        <f aca="false">IF(C37&gt;0,((D37+E37)/C37)*100,0)</f>
        <v>4.89304448802699</v>
      </c>
      <c r="I37" s="0" t="s">
        <v>17</v>
      </c>
    </row>
    <row r="38" customFormat="false" ht="15" hidden="false" customHeight="false" outlineLevel="0" collapsed="false">
      <c r="A38" s="0" t="s">
        <v>815</v>
      </c>
      <c r="B38" s="0" t="n">
        <f aca="false">COUNTIF(Videos_Data!C:C,A38)</f>
        <v>5</v>
      </c>
      <c r="C38" s="0" t="n">
        <f aca="false">SUMIF(Videos_Data!C:C,A38,Videos_Data!G:G)</f>
        <v>11050837</v>
      </c>
      <c r="D38" s="0" t="n">
        <f aca="false">SUMIF(Videos_Data!C:C,A38,Videos_Data!H:H)</f>
        <v>359920</v>
      </c>
      <c r="E38" s="0" t="n">
        <f aca="false">SUMIF(Videos_Data!C:C,A38,Videos_Data!I:I)</f>
        <v>98399</v>
      </c>
      <c r="F38" s="0" t="n">
        <f aca="false">IF(B38&gt;0,C38/B38,0)</f>
        <v>2210167.4</v>
      </c>
      <c r="G38" s="0" t="n">
        <f aca="false">IF(B38&gt;0,D38/B38,0)</f>
        <v>71984</v>
      </c>
      <c r="H38" s="0" t="n">
        <f aca="false">IF(C38&gt;0,((D38+E38)/C38)*100,0)</f>
        <v>4.14736910878334</v>
      </c>
      <c r="I38" s="0" t="s">
        <v>46</v>
      </c>
    </row>
    <row r="39" customFormat="false" ht="15" hidden="false" customHeight="false" outlineLevel="0" collapsed="false">
      <c r="A39" s="0" t="s">
        <v>276</v>
      </c>
      <c r="B39" s="0" t="n">
        <f aca="false">COUNTIF(Videos_Data!C:C,A39)</f>
        <v>5</v>
      </c>
      <c r="C39" s="0" t="n">
        <f aca="false">SUMIF(Videos_Data!C:C,A39,Videos_Data!G:G)</f>
        <v>8419724</v>
      </c>
      <c r="D39" s="0" t="n">
        <f aca="false">SUMIF(Videos_Data!C:C,A39,Videos_Data!H:H)</f>
        <v>257363</v>
      </c>
      <c r="E39" s="0" t="n">
        <f aca="false">SUMIF(Videos_Data!C:C,A39,Videos_Data!I:I)</f>
        <v>71244</v>
      </c>
      <c r="F39" s="0" t="n">
        <f aca="false">IF(B39&gt;0,C39/B39,0)</f>
        <v>1683944.8</v>
      </c>
      <c r="G39" s="0" t="n">
        <f aca="false">IF(B39&gt;0,D39/B39,0)</f>
        <v>51472.6</v>
      </c>
      <c r="H39" s="0" t="n">
        <f aca="false">IF(C39&gt;0,((D39+E39)/C39)*100,0)</f>
        <v>3.90282389303972</v>
      </c>
      <c r="I39" s="0" t="s">
        <v>39</v>
      </c>
    </row>
    <row r="40" customFormat="false" ht="15" hidden="false" customHeight="false" outlineLevel="0" collapsed="false">
      <c r="A40" s="0" t="s">
        <v>327</v>
      </c>
      <c r="B40" s="0" t="n">
        <f aca="false">COUNTIF(Videos_Data!C:C,A40)</f>
        <v>8</v>
      </c>
      <c r="C40" s="0" t="n">
        <f aca="false">SUMIF(Videos_Data!C:C,A40,Videos_Data!G:G)</f>
        <v>16930434</v>
      </c>
      <c r="D40" s="0" t="n">
        <f aca="false">SUMIF(Videos_Data!C:C,A40,Videos_Data!H:H)</f>
        <v>558638</v>
      </c>
      <c r="E40" s="0" t="n">
        <f aca="false">SUMIF(Videos_Data!C:C,A40,Videos_Data!I:I)</f>
        <v>169970</v>
      </c>
      <c r="F40" s="0" t="n">
        <f aca="false">IF(B40&gt;0,C40/B40,0)</f>
        <v>2116304.25</v>
      </c>
      <c r="G40" s="0" t="n">
        <f aca="false">IF(B40&gt;0,D40/B40,0)</f>
        <v>69829.75</v>
      </c>
      <c r="H40" s="0" t="n">
        <f aca="false">IF(C40&gt;0,((D40+E40)/C40)*100,0)</f>
        <v>4.30354000375891</v>
      </c>
      <c r="I40" s="0" t="s">
        <v>71</v>
      </c>
    </row>
    <row r="41" customFormat="false" ht="15" hidden="false" customHeight="false" outlineLevel="0" collapsed="false">
      <c r="A41" s="0" t="s">
        <v>720</v>
      </c>
      <c r="B41" s="0" t="n">
        <f aca="false">COUNTIF(Videos_Data!C:C,A41)</f>
        <v>6</v>
      </c>
      <c r="C41" s="0" t="n">
        <f aca="false">SUMIF(Videos_Data!C:C,A41,Videos_Data!G:G)</f>
        <v>13577144</v>
      </c>
      <c r="D41" s="0" t="n">
        <f aca="false">SUMIF(Videos_Data!C:C,A41,Videos_Data!H:H)</f>
        <v>450879</v>
      </c>
      <c r="E41" s="0" t="n">
        <f aca="false">SUMIF(Videos_Data!C:C,A41,Videos_Data!I:I)</f>
        <v>111120</v>
      </c>
      <c r="F41" s="0" t="n">
        <f aca="false">IF(B41&gt;0,C41/B41,0)</f>
        <v>2262857.33333333</v>
      </c>
      <c r="G41" s="0" t="n">
        <f aca="false">IF(B41&gt;0,D41/B41,0)</f>
        <v>75146.5</v>
      </c>
      <c r="H41" s="0" t="n">
        <f aca="false">IF(C41&gt;0,((D41+E41)/C41)*100,0)</f>
        <v>4.1393020505638</v>
      </c>
      <c r="I41" s="0" t="s">
        <v>71</v>
      </c>
    </row>
    <row r="42" customFormat="false" ht="15" hidden="false" customHeight="false" outlineLevel="0" collapsed="false">
      <c r="A42" s="0" t="s">
        <v>1597</v>
      </c>
      <c r="B42" s="0" t="n">
        <f aca="false">COUNTIF(Videos_Data!C:C,A42)</f>
        <v>4</v>
      </c>
      <c r="C42" s="0" t="n">
        <f aca="false">SUMIF(Videos_Data!C:C,A42,Videos_Data!G:G)</f>
        <v>8593921</v>
      </c>
      <c r="D42" s="0" t="n">
        <f aca="false">SUMIF(Videos_Data!C:C,A42,Videos_Data!H:H)</f>
        <v>334605</v>
      </c>
      <c r="E42" s="0" t="n">
        <f aca="false">SUMIF(Videos_Data!C:C,A42,Videos_Data!I:I)</f>
        <v>98812</v>
      </c>
      <c r="F42" s="0" t="n">
        <f aca="false">IF(B42&gt;0,C42/B42,0)</f>
        <v>2148480.25</v>
      </c>
      <c r="G42" s="0" t="n">
        <f aca="false">IF(B42&gt;0,D42/B42,0)</f>
        <v>83651.25</v>
      </c>
      <c r="H42" s="0" t="n">
        <f aca="false">IF(C42&gt;0,((D42+E42)/C42)*100,0)</f>
        <v>5.04329746573188</v>
      </c>
      <c r="I42" s="0" t="s">
        <v>65</v>
      </c>
    </row>
    <row r="43" customFormat="false" ht="15" hidden="false" customHeight="false" outlineLevel="0" collapsed="false">
      <c r="A43" s="0" t="s">
        <v>38</v>
      </c>
      <c r="B43" s="0" t="n">
        <f aca="false">COUNTIF(Videos_Data!C:C,A43)</f>
        <v>2</v>
      </c>
      <c r="C43" s="0" t="n">
        <f aca="false">SUMIF(Videos_Data!C:C,A43,Videos_Data!G:G)</f>
        <v>2917169</v>
      </c>
      <c r="D43" s="0" t="n">
        <f aca="false">SUMIF(Videos_Data!C:C,A43,Videos_Data!H:H)</f>
        <v>106274</v>
      </c>
      <c r="E43" s="0" t="n">
        <f aca="false">SUMIF(Videos_Data!C:C,A43,Videos_Data!I:I)</f>
        <v>22582</v>
      </c>
      <c r="F43" s="0" t="n">
        <f aca="false">IF(B43&gt;0,C43/B43,0)</f>
        <v>1458584.5</v>
      </c>
      <c r="G43" s="0" t="n">
        <f aca="false">IF(B43&gt;0,D43/B43,0)</f>
        <v>53137</v>
      </c>
      <c r="H43" s="0" t="n">
        <f aca="false">IF(C43&gt;0,((D43+E43)/C43)*100,0)</f>
        <v>4.4171592389745</v>
      </c>
      <c r="I43" s="0" t="s">
        <v>25</v>
      </c>
    </row>
    <row r="44" customFormat="false" ht="15" hidden="false" customHeight="false" outlineLevel="0" collapsed="false">
      <c r="A44" s="0" t="s">
        <v>430</v>
      </c>
      <c r="B44" s="0" t="n">
        <f aca="false">COUNTIF(Videos_Data!C:C,A44)</f>
        <v>2</v>
      </c>
      <c r="C44" s="0" t="n">
        <f aca="false">SUMIF(Videos_Data!C:C,A44,Videos_Data!G:G)</f>
        <v>3806008</v>
      </c>
      <c r="D44" s="0" t="n">
        <f aca="false">SUMIF(Videos_Data!C:C,A44,Videos_Data!H:H)</f>
        <v>114697</v>
      </c>
      <c r="E44" s="0" t="n">
        <f aca="false">SUMIF(Videos_Data!C:C,A44,Videos_Data!I:I)</f>
        <v>34844</v>
      </c>
      <c r="F44" s="0" t="n">
        <f aca="false">IF(B44&gt;0,C44/B44,0)</f>
        <v>1903004</v>
      </c>
      <c r="G44" s="0" t="n">
        <f aca="false">IF(B44&gt;0,D44/B44,0)</f>
        <v>57348.5</v>
      </c>
      <c r="H44" s="0" t="n">
        <f aca="false">IF(C44&gt;0,((D44+E44)/C44)*100,0)</f>
        <v>3.92907739552833</v>
      </c>
      <c r="I44" s="0" t="s">
        <v>59</v>
      </c>
    </row>
    <row r="45" customFormat="false" ht="15" hidden="false" customHeight="false" outlineLevel="0" collapsed="false">
      <c r="A45" s="0" t="s">
        <v>137</v>
      </c>
      <c r="B45" s="0" t="n">
        <f aca="false">COUNTIF(Videos_Data!C:C,A45)</f>
        <v>6</v>
      </c>
      <c r="C45" s="0" t="n">
        <f aca="false">SUMIF(Videos_Data!C:C,A45,Videos_Data!G:G)</f>
        <v>13284943</v>
      </c>
      <c r="D45" s="0" t="n">
        <f aca="false">SUMIF(Videos_Data!C:C,A45,Videos_Data!H:H)</f>
        <v>428131</v>
      </c>
      <c r="E45" s="0" t="n">
        <f aca="false">SUMIF(Videos_Data!C:C,A45,Videos_Data!I:I)</f>
        <v>122237</v>
      </c>
      <c r="F45" s="0" t="n">
        <f aca="false">IF(B45&gt;0,C45/B45,0)</f>
        <v>2214157.16666667</v>
      </c>
      <c r="G45" s="0" t="n">
        <f aca="false">IF(B45&gt;0,D45/B45,0)</f>
        <v>71355.1666666667</v>
      </c>
      <c r="H45" s="0" t="n">
        <f aca="false">IF(C45&gt;0,((D45+E45)/C45)*100,0)</f>
        <v>4.14279534357054</v>
      </c>
      <c r="I45" s="0" t="s">
        <v>89</v>
      </c>
    </row>
    <row r="46" customFormat="false" ht="15" hidden="false" customHeight="false" outlineLevel="0" collapsed="false">
      <c r="A46" s="0" t="s">
        <v>212</v>
      </c>
      <c r="B46" s="0" t="n">
        <f aca="false">COUNTIF(Videos_Data!C:C,A46)</f>
        <v>6</v>
      </c>
      <c r="C46" s="0" t="n">
        <f aca="false">SUMIF(Videos_Data!C:C,A46,Videos_Data!G:G)</f>
        <v>12335895</v>
      </c>
      <c r="D46" s="0" t="n">
        <f aca="false">SUMIF(Videos_Data!C:C,A46,Videos_Data!H:H)</f>
        <v>389645</v>
      </c>
      <c r="E46" s="0" t="n">
        <f aca="false">SUMIF(Videos_Data!C:C,A46,Videos_Data!I:I)</f>
        <v>113324</v>
      </c>
      <c r="F46" s="0" t="n">
        <f aca="false">IF(B46&gt;0,C46/B46,0)</f>
        <v>2055982.5</v>
      </c>
      <c r="G46" s="0" t="n">
        <f aca="false">IF(B46&gt;0,D46/B46,0)</f>
        <v>64940.8333333333</v>
      </c>
      <c r="H46" s="0" t="n">
        <f aca="false">IF(C46&gt;0,((D46+E46)/C46)*100,0)</f>
        <v>4.0772801649171</v>
      </c>
      <c r="I46" s="0" t="s">
        <v>39</v>
      </c>
    </row>
    <row r="47" customFormat="false" ht="15" hidden="false" customHeight="false" outlineLevel="0" collapsed="false">
      <c r="A47" s="0" t="s">
        <v>309</v>
      </c>
      <c r="B47" s="0" t="n">
        <f aca="false">COUNTIF(Videos_Data!C:C,A47)</f>
        <v>7</v>
      </c>
      <c r="C47" s="0" t="n">
        <f aca="false">SUMIF(Videos_Data!C:C,A47,Videos_Data!G:G)</f>
        <v>16220536</v>
      </c>
      <c r="D47" s="0" t="n">
        <f aca="false">SUMIF(Videos_Data!C:C,A47,Videos_Data!H:H)</f>
        <v>545346</v>
      </c>
      <c r="E47" s="0" t="n">
        <f aca="false">SUMIF(Videos_Data!C:C,A47,Videos_Data!I:I)</f>
        <v>184908</v>
      </c>
      <c r="F47" s="0" t="n">
        <f aca="false">IF(B47&gt;0,C47/B47,0)</f>
        <v>2317219.42857143</v>
      </c>
      <c r="G47" s="0" t="n">
        <f aca="false">IF(B47&gt;0,D47/B47,0)</f>
        <v>77906.5714285714</v>
      </c>
      <c r="H47" s="0" t="n">
        <f aca="false">IF(C47&gt;0,((D47+E47)/C47)*100,0)</f>
        <v>4.50203371824458</v>
      </c>
      <c r="I47" s="0" t="s">
        <v>65</v>
      </c>
    </row>
    <row r="48" customFormat="false" ht="15" hidden="false" customHeight="false" outlineLevel="0" collapsed="false">
      <c r="A48" s="0" t="s">
        <v>572</v>
      </c>
      <c r="B48" s="0" t="n">
        <f aca="false">COUNTIF(Videos_Data!C:C,A48)</f>
        <v>6</v>
      </c>
      <c r="C48" s="0" t="n">
        <f aca="false">SUMIF(Videos_Data!C:C,A48,Videos_Data!G:G)</f>
        <v>19870495</v>
      </c>
      <c r="D48" s="0" t="n">
        <f aca="false">SUMIF(Videos_Data!C:C,A48,Videos_Data!H:H)</f>
        <v>783891</v>
      </c>
      <c r="E48" s="0" t="n">
        <f aca="false">SUMIF(Videos_Data!C:C,A48,Videos_Data!I:I)</f>
        <v>246391</v>
      </c>
      <c r="F48" s="0" t="n">
        <f aca="false">IF(B48&gt;0,C48/B48,0)</f>
        <v>3311749.16666667</v>
      </c>
      <c r="G48" s="0" t="n">
        <f aca="false">IF(B48&gt;0,D48/B48,0)</f>
        <v>130648.5</v>
      </c>
      <c r="H48" s="0" t="n">
        <f aca="false">IF(C48&gt;0,((D48+E48)/C48)*100,0)</f>
        <v>5.18498406808688</v>
      </c>
      <c r="I48" s="0" t="s">
        <v>39</v>
      </c>
    </row>
    <row r="49" customFormat="false" ht="15" hidden="false" customHeight="false" outlineLevel="0" collapsed="false">
      <c r="A49" s="0" t="s">
        <v>590</v>
      </c>
      <c r="B49" s="0" t="n">
        <f aca="false">COUNTIF(Videos_Data!C:C,A49)</f>
        <v>4</v>
      </c>
      <c r="C49" s="0" t="n">
        <f aca="false">SUMIF(Videos_Data!C:C,A49,Videos_Data!G:G)</f>
        <v>6215426</v>
      </c>
      <c r="D49" s="0" t="n">
        <f aca="false">SUMIF(Videos_Data!C:C,A49,Videos_Data!H:H)</f>
        <v>165313</v>
      </c>
      <c r="E49" s="0" t="n">
        <f aca="false">SUMIF(Videos_Data!C:C,A49,Videos_Data!I:I)</f>
        <v>49015</v>
      </c>
      <c r="F49" s="0" t="n">
        <f aca="false">IF(B49&gt;0,C49/B49,0)</f>
        <v>1553856.5</v>
      </c>
      <c r="G49" s="0" t="n">
        <f aca="false">IF(B49&gt;0,D49/B49,0)</f>
        <v>41328.25</v>
      </c>
      <c r="H49" s="0" t="n">
        <f aca="false">IF(C49&gt;0,((D49+E49)/C49)*100,0)</f>
        <v>3.44832357428115</v>
      </c>
      <c r="I49" s="0" t="s">
        <v>89</v>
      </c>
    </row>
    <row r="50" customFormat="false" ht="15" hidden="false" customHeight="false" outlineLevel="0" collapsed="false">
      <c r="A50" s="0" t="s">
        <v>129</v>
      </c>
      <c r="B50" s="0" t="n">
        <f aca="false">COUNTIF(Videos_Data!C:C,A50)</f>
        <v>8</v>
      </c>
      <c r="C50" s="0" t="n">
        <f aca="false">SUMIF(Videos_Data!C:C,A50,Videos_Data!G:G)</f>
        <v>18376483</v>
      </c>
      <c r="D50" s="0" t="n">
        <f aca="false">SUMIF(Videos_Data!C:C,A50,Videos_Data!H:H)</f>
        <v>549287</v>
      </c>
      <c r="E50" s="0" t="n">
        <f aca="false">SUMIF(Videos_Data!C:C,A50,Videos_Data!I:I)</f>
        <v>149308</v>
      </c>
      <c r="F50" s="0" t="n">
        <f aca="false">IF(B50&gt;0,C50/B50,0)</f>
        <v>2297060.375</v>
      </c>
      <c r="G50" s="0" t="n">
        <f aca="false">IF(B50&gt;0,D50/B50,0)</f>
        <v>68660.875</v>
      </c>
      <c r="H50" s="0" t="n">
        <f aca="false">IF(C50&gt;0,((D50+E50)/C50)*100,0)</f>
        <v>3.8015707358149</v>
      </c>
      <c r="I50" s="0" t="s">
        <v>32</v>
      </c>
    </row>
    <row r="51" customFormat="false" ht="15" hidden="false" customHeight="false" outlineLevel="0" collapsed="false">
      <c r="A51" s="0" t="s">
        <v>175</v>
      </c>
      <c r="B51" s="0" t="n">
        <f aca="false">COUNTIF(Videos_Data!C:C,A51)</f>
        <v>12</v>
      </c>
      <c r="C51" s="0" t="n">
        <f aca="false">SUMIF(Videos_Data!C:C,A51,Videos_Data!G:G)</f>
        <v>27831087</v>
      </c>
      <c r="D51" s="0" t="n">
        <f aca="false">SUMIF(Videos_Data!C:C,A51,Videos_Data!H:H)</f>
        <v>941866</v>
      </c>
      <c r="E51" s="0" t="n">
        <f aca="false">SUMIF(Videos_Data!C:C,A51,Videos_Data!I:I)</f>
        <v>305837</v>
      </c>
      <c r="F51" s="0" t="n">
        <f aca="false">IF(B51&gt;0,C51/B51,0)</f>
        <v>2319257.25</v>
      </c>
      <c r="G51" s="0" t="n">
        <f aca="false">IF(B51&gt;0,D51/B51,0)</f>
        <v>78488.8333333333</v>
      </c>
      <c r="H51" s="0" t="n">
        <f aca="false">IF(C51&gt;0,((D51+E51)/C51)*100,0)</f>
        <v>4.48312708734661</v>
      </c>
      <c r="I51" s="0" t="s">
        <v>59</v>
      </c>
    </row>
    <row r="52" customFormat="false" ht="15" hidden="false" customHeight="false" outlineLevel="0" collapsed="false">
      <c r="A52" s="0" t="s">
        <v>947</v>
      </c>
      <c r="B52" s="0" t="n">
        <f aca="false">COUNTIF(Videos_Data!C:C,A52)</f>
        <v>5</v>
      </c>
      <c r="C52" s="0" t="n">
        <f aca="false">SUMIF(Videos_Data!C:C,A52,Videos_Data!G:G)</f>
        <v>15837170</v>
      </c>
      <c r="D52" s="0" t="n">
        <f aca="false">SUMIF(Videos_Data!C:C,A52,Videos_Data!H:H)</f>
        <v>546022</v>
      </c>
      <c r="E52" s="0" t="n">
        <f aca="false">SUMIF(Videos_Data!C:C,A52,Videos_Data!I:I)</f>
        <v>161264</v>
      </c>
      <c r="F52" s="0" t="n">
        <f aca="false">IF(B52&gt;0,C52/B52,0)</f>
        <v>3167434</v>
      </c>
      <c r="G52" s="0" t="n">
        <f aca="false">IF(B52&gt;0,D52/B52,0)</f>
        <v>109204.4</v>
      </c>
      <c r="H52" s="0" t="n">
        <f aca="false">IF(C52&gt;0,((D52+E52)/C52)*100,0)</f>
        <v>4.46598729444718</v>
      </c>
      <c r="I52" s="0" t="s">
        <v>144</v>
      </c>
    </row>
    <row r="53" customFormat="false" ht="15" hidden="false" customHeight="false" outlineLevel="0" collapsed="false">
      <c r="A53" s="0" t="s">
        <v>172</v>
      </c>
      <c r="B53" s="0" t="n">
        <f aca="false">COUNTIF(Videos_Data!C:C,A53)</f>
        <v>5</v>
      </c>
      <c r="C53" s="0" t="n">
        <f aca="false">SUMIF(Videos_Data!C:C,A53,Videos_Data!G:G)</f>
        <v>18783723</v>
      </c>
      <c r="D53" s="0" t="n">
        <f aca="false">SUMIF(Videos_Data!C:C,A53,Videos_Data!H:H)</f>
        <v>664757</v>
      </c>
      <c r="E53" s="0" t="n">
        <f aca="false">SUMIF(Videos_Data!C:C,A53,Videos_Data!I:I)</f>
        <v>178486</v>
      </c>
      <c r="F53" s="0" t="n">
        <f aca="false">IF(B53&gt;0,C53/B53,0)</f>
        <v>3756744.6</v>
      </c>
      <c r="G53" s="0" t="n">
        <f aca="false">IF(B53&gt;0,D53/B53,0)</f>
        <v>132951.4</v>
      </c>
      <c r="H53" s="0" t="n">
        <f aca="false">IF(C53&gt;0,((D53+E53)/C53)*100,0)</f>
        <v>4.48922186512227</v>
      </c>
      <c r="I53" s="0" t="s">
        <v>32</v>
      </c>
    </row>
    <row r="54" customFormat="false" ht="15" hidden="false" customHeight="false" outlineLevel="0" collapsed="false">
      <c r="A54" s="0" t="s">
        <v>611</v>
      </c>
      <c r="B54" s="0" t="n">
        <f aca="false">COUNTIF(Videos_Data!C:C,A54)</f>
        <v>2</v>
      </c>
      <c r="C54" s="0" t="n">
        <f aca="false">SUMIF(Videos_Data!C:C,A54,Videos_Data!G:G)</f>
        <v>4318304</v>
      </c>
      <c r="D54" s="0" t="n">
        <f aca="false">SUMIF(Videos_Data!C:C,A54,Videos_Data!H:H)</f>
        <v>147206</v>
      </c>
      <c r="E54" s="0" t="n">
        <f aca="false">SUMIF(Videos_Data!C:C,A54,Videos_Data!I:I)</f>
        <v>46640</v>
      </c>
      <c r="F54" s="0" t="n">
        <f aca="false">IF(B54&gt;0,C54/B54,0)</f>
        <v>2159152</v>
      </c>
      <c r="G54" s="0" t="n">
        <f aca="false">IF(B54&gt;0,D54/B54,0)</f>
        <v>73603</v>
      </c>
      <c r="H54" s="0" t="n">
        <f aca="false">IF(C54&gt;0,((D54+E54)/C54)*100,0)</f>
        <v>4.48893824983142</v>
      </c>
      <c r="I54" s="0" t="s">
        <v>144</v>
      </c>
    </row>
    <row r="55" customFormat="false" ht="15" hidden="false" customHeight="false" outlineLevel="0" collapsed="false">
      <c r="A55" s="0" t="s">
        <v>708</v>
      </c>
      <c r="B55" s="0" t="n">
        <f aca="false">COUNTIF(Videos_Data!C:C,A55)</f>
        <v>2</v>
      </c>
      <c r="C55" s="0" t="n">
        <f aca="false">SUMIF(Videos_Data!C:C,A55,Videos_Data!G:G)</f>
        <v>5132842</v>
      </c>
      <c r="D55" s="0" t="n">
        <f aca="false">SUMIF(Videos_Data!C:C,A55,Videos_Data!H:H)</f>
        <v>211209</v>
      </c>
      <c r="E55" s="0" t="n">
        <f aca="false">SUMIF(Videos_Data!C:C,A55,Videos_Data!I:I)</f>
        <v>52804</v>
      </c>
      <c r="F55" s="0" t="n">
        <f aca="false">IF(B55&gt;0,C55/B55,0)</f>
        <v>2566421</v>
      </c>
      <c r="G55" s="0" t="n">
        <f aca="false">IF(B55&gt;0,D55/B55,0)</f>
        <v>105604.5</v>
      </c>
      <c r="H55" s="0" t="n">
        <f aca="false">IF(C55&gt;0,((D55+E55)/C55)*100,0)</f>
        <v>5.14360270586938</v>
      </c>
      <c r="I55" s="0" t="s">
        <v>59</v>
      </c>
    </row>
    <row r="56" customFormat="false" ht="15" hidden="false" customHeight="false" outlineLevel="0" collapsed="false">
      <c r="A56" s="0" t="s">
        <v>913</v>
      </c>
      <c r="B56" s="0" t="n">
        <f aca="false">COUNTIF(Videos_Data!C:C,A56)</f>
        <v>3</v>
      </c>
      <c r="C56" s="0" t="n">
        <f aca="false">SUMIF(Videos_Data!C:C,A56,Videos_Data!G:G)</f>
        <v>5307549</v>
      </c>
      <c r="D56" s="0" t="n">
        <f aca="false">SUMIF(Videos_Data!C:C,A56,Videos_Data!H:H)</f>
        <v>165718</v>
      </c>
      <c r="E56" s="0" t="n">
        <f aca="false">SUMIF(Videos_Data!C:C,A56,Videos_Data!I:I)</f>
        <v>54927</v>
      </c>
      <c r="F56" s="0" t="n">
        <f aca="false">IF(B56&gt;0,C56/B56,0)</f>
        <v>1769183</v>
      </c>
      <c r="G56" s="0" t="n">
        <f aca="false">IF(B56&gt;0,D56/B56,0)</f>
        <v>55239.3333333333</v>
      </c>
      <c r="H56" s="0" t="n">
        <f aca="false">IF(C56&gt;0,((D56+E56)/C56)*100,0)</f>
        <v>4.15719195432769</v>
      </c>
      <c r="I56" s="0" t="s">
        <v>46</v>
      </c>
    </row>
    <row r="57" customFormat="false" ht="15" hidden="false" customHeight="false" outlineLevel="0" collapsed="false">
      <c r="A57" s="0" t="s">
        <v>1158</v>
      </c>
      <c r="B57" s="0" t="n">
        <f aca="false">COUNTIF(Videos_Data!C:C,A57)</f>
        <v>6</v>
      </c>
      <c r="C57" s="0" t="n">
        <f aca="false">SUMIF(Videos_Data!C:C,A57,Videos_Data!G:G)</f>
        <v>15806368</v>
      </c>
      <c r="D57" s="0" t="n">
        <f aca="false">SUMIF(Videos_Data!C:C,A57,Videos_Data!H:H)</f>
        <v>603661</v>
      </c>
      <c r="E57" s="0" t="n">
        <f aca="false">SUMIF(Videos_Data!C:C,A57,Videos_Data!I:I)</f>
        <v>173041</v>
      </c>
      <c r="F57" s="0" t="n">
        <f aca="false">IF(B57&gt;0,C57/B57,0)</f>
        <v>2634394.66666667</v>
      </c>
      <c r="G57" s="0" t="n">
        <f aca="false">IF(B57&gt;0,D57/B57,0)</f>
        <v>100610.166666667</v>
      </c>
      <c r="H57" s="0" t="n">
        <f aca="false">IF(C57&gt;0,((D57+E57)/C57)*100,0)</f>
        <v>4.91385497288182</v>
      </c>
      <c r="I57" s="0" t="s">
        <v>71</v>
      </c>
    </row>
    <row r="58" customFormat="false" ht="15" hidden="false" customHeight="false" outlineLevel="0" collapsed="false">
      <c r="A58" s="0" t="s">
        <v>483</v>
      </c>
      <c r="B58" s="0" t="n">
        <f aca="false">COUNTIF(Videos_Data!C:C,A58)</f>
        <v>6</v>
      </c>
      <c r="C58" s="0" t="n">
        <f aca="false">SUMIF(Videos_Data!C:C,A58,Videos_Data!G:G)</f>
        <v>17809769</v>
      </c>
      <c r="D58" s="0" t="n">
        <f aca="false">SUMIF(Videos_Data!C:C,A58,Videos_Data!H:H)</f>
        <v>627097</v>
      </c>
      <c r="E58" s="0" t="n">
        <f aca="false">SUMIF(Videos_Data!C:C,A58,Videos_Data!I:I)</f>
        <v>179530</v>
      </c>
      <c r="F58" s="0" t="n">
        <f aca="false">IF(B58&gt;0,C58/B58,0)</f>
        <v>2968294.83333333</v>
      </c>
      <c r="G58" s="0" t="n">
        <f aca="false">IF(B58&gt;0,D58/B58,0)</f>
        <v>104516.166666667</v>
      </c>
      <c r="H58" s="0" t="n">
        <f aca="false">IF(C58&gt;0,((D58+E58)/C58)*100,0)</f>
        <v>4.52912668322649</v>
      </c>
      <c r="I58" s="0" t="s">
        <v>71</v>
      </c>
    </row>
    <row r="59" customFormat="false" ht="15" hidden="false" customHeight="false" outlineLevel="0" collapsed="false">
      <c r="A59" s="0" t="s">
        <v>1056</v>
      </c>
      <c r="B59" s="0" t="n">
        <f aca="false">COUNTIF(Videos_Data!C:C,A59)</f>
        <v>4</v>
      </c>
      <c r="C59" s="0" t="n">
        <f aca="false">SUMIF(Videos_Data!C:C,A59,Videos_Data!G:G)</f>
        <v>9203557</v>
      </c>
      <c r="D59" s="0" t="n">
        <f aca="false">SUMIF(Videos_Data!C:C,A59,Videos_Data!H:H)</f>
        <v>321216</v>
      </c>
      <c r="E59" s="0" t="n">
        <f aca="false">SUMIF(Videos_Data!C:C,A59,Videos_Data!I:I)</f>
        <v>88356</v>
      </c>
      <c r="F59" s="0" t="n">
        <f aca="false">IF(B59&gt;0,C59/B59,0)</f>
        <v>2300889.25</v>
      </c>
      <c r="G59" s="0" t="n">
        <f aca="false">IF(B59&gt;0,D59/B59,0)</f>
        <v>80304</v>
      </c>
      <c r="H59" s="0" t="n">
        <f aca="false">IF(C59&gt;0,((D59+E59)/C59)*100,0)</f>
        <v>4.45014900217383</v>
      </c>
      <c r="I59" s="0" t="s">
        <v>109</v>
      </c>
    </row>
    <row r="60" customFormat="false" ht="15" hidden="false" customHeight="false" outlineLevel="0" collapsed="false">
      <c r="A60" s="0" t="s">
        <v>180</v>
      </c>
      <c r="B60" s="0" t="n">
        <f aca="false">COUNTIF(Videos_Data!C:C,A60)</f>
        <v>6</v>
      </c>
      <c r="C60" s="0" t="n">
        <f aca="false">SUMIF(Videos_Data!C:C,A60,Videos_Data!G:G)</f>
        <v>14340293</v>
      </c>
      <c r="D60" s="0" t="n">
        <f aca="false">SUMIF(Videos_Data!C:C,A60,Videos_Data!H:H)</f>
        <v>506052</v>
      </c>
      <c r="E60" s="0" t="n">
        <f aca="false">SUMIF(Videos_Data!C:C,A60,Videos_Data!I:I)</f>
        <v>139130</v>
      </c>
      <c r="F60" s="0" t="n">
        <f aca="false">IF(B60&gt;0,C60/B60,0)</f>
        <v>2390048.83333333</v>
      </c>
      <c r="G60" s="0" t="n">
        <f aca="false">IF(B60&gt;0,D60/B60,0)</f>
        <v>84342</v>
      </c>
      <c r="H60" s="0" t="n">
        <f aca="false">IF(C60&gt;0,((D60+E60)/C60)*100,0)</f>
        <v>4.49908520000254</v>
      </c>
      <c r="I60" s="0" t="s">
        <v>109</v>
      </c>
    </row>
    <row r="61" customFormat="false" ht="15" hidden="false" customHeight="false" outlineLevel="0" collapsed="false">
      <c r="A61" s="0" t="s">
        <v>696</v>
      </c>
      <c r="B61" s="0" t="n">
        <f aca="false">COUNTIF(Videos_Data!C:C,A61)</f>
        <v>5</v>
      </c>
      <c r="C61" s="0" t="n">
        <f aca="false">SUMIF(Videos_Data!C:C,A61,Videos_Data!G:G)</f>
        <v>11829672</v>
      </c>
      <c r="D61" s="0" t="n">
        <f aca="false">SUMIF(Videos_Data!C:C,A61,Videos_Data!H:H)</f>
        <v>451740</v>
      </c>
      <c r="E61" s="0" t="n">
        <f aca="false">SUMIF(Videos_Data!C:C,A61,Videos_Data!I:I)</f>
        <v>138154</v>
      </c>
      <c r="F61" s="0" t="n">
        <f aca="false">IF(B61&gt;0,C61/B61,0)</f>
        <v>2365934.4</v>
      </c>
      <c r="G61" s="0" t="n">
        <f aca="false">IF(B61&gt;0,D61/B61,0)</f>
        <v>90348</v>
      </c>
      <c r="H61" s="0" t="n">
        <f aca="false">IF(C61&gt;0,((D61+E61)/C61)*100,0)</f>
        <v>4.98656260291917</v>
      </c>
      <c r="I61" s="0" t="s">
        <v>17</v>
      </c>
    </row>
    <row r="62" customFormat="false" ht="15" hidden="false" customHeight="false" outlineLevel="0" collapsed="false">
      <c r="A62" s="0" t="s">
        <v>1106</v>
      </c>
      <c r="B62" s="0" t="n">
        <f aca="false">COUNTIF(Videos_Data!C:C,A62)</f>
        <v>4</v>
      </c>
      <c r="C62" s="0" t="n">
        <f aca="false">SUMIF(Videos_Data!C:C,A62,Videos_Data!G:G)</f>
        <v>6494128</v>
      </c>
      <c r="D62" s="0" t="n">
        <f aca="false">SUMIF(Videos_Data!C:C,A62,Videos_Data!H:H)</f>
        <v>195530</v>
      </c>
      <c r="E62" s="0" t="n">
        <f aca="false">SUMIF(Videos_Data!C:C,A62,Videos_Data!I:I)</f>
        <v>57608</v>
      </c>
      <c r="F62" s="0" t="n">
        <f aca="false">IF(B62&gt;0,C62/B62,0)</f>
        <v>1623532</v>
      </c>
      <c r="G62" s="0" t="n">
        <f aca="false">IF(B62&gt;0,D62/B62,0)</f>
        <v>48882.5</v>
      </c>
      <c r="H62" s="0" t="n">
        <f aca="false">IF(C62&gt;0,((D62+E62)/C62)*100,0)</f>
        <v>3.89795211920677</v>
      </c>
      <c r="I62" s="0" t="s">
        <v>32</v>
      </c>
    </row>
    <row r="63" customFormat="false" ht="15" hidden="false" customHeight="false" outlineLevel="0" collapsed="false">
      <c r="A63" s="0" t="s">
        <v>31</v>
      </c>
      <c r="B63" s="0" t="n">
        <f aca="false">COUNTIF(Videos_Data!C:C,A63)</f>
        <v>5</v>
      </c>
      <c r="C63" s="0" t="n">
        <f aca="false">SUMIF(Videos_Data!C:C,A63,Videos_Data!G:G)</f>
        <v>13547479</v>
      </c>
      <c r="D63" s="0" t="n">
        <f aca="false">SUMIF(Videos_Data!C:C,A63,Videos_Data!H:H)</f>
        <v>512170</v>
      </c>
      <c r="E63" s="0" t="n">
        <f aca="false">SUMIF(Videos_Data!C:C,A63,Videos_Data!I:I)</f>
        <v>158809</v>
      </c>
      <c r="F63" s="0" t="n">
        <f aca="false">IF(B63&gt;0,C63/B63,0)</f>
        <v>2709495.8</v>
      </c>
      <c r="G63" s="0" t="n">
        <f aca="false">IF(B63&gt;0,D63/B63,0)</f>
        <v>102434</v>
      </c>
      <c r="H63" s="0" t="n">
        <f aca="false">IF(C63&gt;0,((D63+E63)/C63)*100,0)</f>
        <v>4.95279601466812</v>
      </c>
      <c r="I63" s="0" t="s">
        <v>65</v>
      </c>
    </row>
    <row r="64" customFormat="false" ht="15" hidden="false" customHeight="false" outlineLevel="0" collapsed="false">
      <c r="A64" s="0" t="s">
        <v>717</v>
      </c>
      <c r="B64" s="0" t="n">
        <f aca="false">COUNTIF(Videos_Data!C:C,A64)</f>
        <v>3</v>
      </c>
      <c r="C64" s="0" t="n">
        <f aca="false">SUMIF(Videos_Data!C:C,A64,Videos_Data!G:G)</f>
        <v>9710067</v>
      </c>
      <c r="D64" s="0" t="n">
        <f aca="false">SUMIF(Videos_Data!C:C,A64,Videos_Data!H:H)</f>
        <v>284852</v>
      </c>
      <c r="E64" s="0" t="n">
        <f aca="false">SUMIF(Videos_Data!C:C,A64,Videos_Data!I:I)</f>
        <v>97013</v>
      </c>
      <c r="F64" s="0" t="n">
        <f aca="false">IF(B64&gt;0,C64/B64,0)</f>
        <v>3236689</v>
      </c>
      <c r="G64" s="0" t="n">
        <f aca="false">IF(B64&gt;0,D64/B64,0)</f>
        <v>94950.6666666667</v>
      </c>
      <c r="H64" s="0" t="n">
        <f aca="false">IF(C64&gt;0,((D64+E64)/C64)*100,0)</f>
        <v>3.93267111339191</v>
      </c>
      <c r="I64" s="0" t="s">
        <v>144</v>
      </c>
    </row>
    <row r="65" customFormat="false" ht="15" hidden="false" customHeight="false" outlineLevel="0" collapsed="false">
      <c r="A65" s="0" t="s">
        <v>99</v>
      </c>
      <c r="B65" s="0" t="n">
        <f aca="false">COUNTIF(Videos_Data!C:C,A65)</f>
        <v>5</v>
      </c>
      <c r="C65" s="0" t="n">
        <f aca="false">SUMIF(Videos_Data!C:C,A65,Videos_Data!G:G)</f>
        <v>12769755</v>
      </c>
      <c r="D65" s="0" t="n">
        <f aca="false">SUMIF(Videos_Data!C:C,A65,Videos_Data!H:H)</f>
        <v>447036</v>
      </c>
      <c r="E65" s="0" t="n">
        <f aca="false">SUMIF(Videos_Data!C:C,A65,Videos_Data!I:I)</f>
        <v>123501</v>
      </c>
      <c r="F65" s="0" t="n">
        <f aca="false">IF(B65&gt;0,C65/B65,0)</f>
        <v>2553951</v>
      </c>
      <c r="G65" s="0" t="n">
        <f aca="false">IF(B65&gt;0,D65/B65,0)</f>
        <v>89407.2</v>
      </c>
      <c r="H65" s="0" t="n">
        <f aca="false">IF(C65&gt;0,((D65+E65)/C65)*100,0)</f>
        <v>4.46787741816503</v>
      </c>
      <c r="I65" s="0" t="s">
        <v>32</v>
      </c>
    </row>
    <row r="66" customFormat="false" ht="15" hidden="false" customHeight="false" outlineLevel="0" collapsed="false">
      <c r="A66" s="0" t="s">
        <v>287</v>
      </c>
      <c r="B66" s="0" t="n">
        <f aca="false">COUNTIF(Videos_Data!C:C,A66)</f>
        <v>3</v>
      </c>
      <c r="C66" s="0" t="n">
        <f aca="false">SUMIF(Videos_Data!C:C,A66,Videos_Data!G:G)</f>
        <v>3778252</v>
      </c>
      <c r="D66" s="0" t="n">
        <f aca="false">SUMIF(Videos_Data!C:C,A66,Videos_Data!H:H)</f>
        <v>88787</v>
      </c>
      <c r="E66" s="0" t="n">
        <f aca="false">SUMIF(Videos_Data!C:C,A66,Videos_Data!I:I)</f>
        <v>22612</v>
      </c>
      <c r="F66" s="0" t="n">
        <f aca="false">IF(B66&gt;0,C66/B66,0)</f>
        <v>1259417.33333333</v>
      </c>
      <c r="G66" s="0" t="n">
        <f aca="false">IF(B66&gt;0,D66/B66,0)</f>
        <v>29595.6666666667</v>
      </c>
      <c r="H66" s="0" t="n">
        <f aca="false">IF(C66&gt;0,((D66+E66)/C66)*100,0)</f>
        <v>2.94842694452355</v>
      </c>
      <c r="I66" s="0" t="s">
        <v>144</v>
      </c>
    </row>
    <row r="67" customFormat="false" ht="15" hidden="false" customHeight="false" outlineLevel="0" collapsed="false">
      <c r="A67" s="0" t="s">
        <v>1053</v>
      </c>
      <c r="B67" s="0" t="n">
        <f aca="false">COUNTIF(Videos_Data!C:C,A67)</f>
        <v>3</v>
      </c>
      <c r="C67" s="0" t="n">
        <f aca="false">SUMIF(Videos_Data!C:C,A67,Videos_Data!G:G)</f>
        <v>7226306</v>
      </c>
      <c r="D67" s="0" t="n">
        <f aca="false">SUMIF(Videos_Data!C:C,A67,Videos_Data!H:H)</f>
        <v>334298</v>
      </c>
      <c r="E67" s="0" t="n">
        <f aca="false">SUMIF(Videos_Data!C:C,A67,Videos_Data!I:I)</f>
        <v>84724</v>
      </c>
      <c r="F67" s="0" t="n">
        <f aca="false">IF(B67&gt;0,C67/B67,0)</f>
        <v>2408768.66666667</v>
      </c>
      <c r="G67" s="0" t="n">
        <f aca="false">IF(B67&gt;0,D67/B67,0)</f>
        <v>111432.666666667</v>
      </c>
      <c r="H67" s="0" t="n">
        <f aca="false">IF(C67&gt;0,((D67+E67)/C67)*100,0)</f>
        <v>5.79856430104122</v>
      </c>
      <c r="I67" s="0" t="s">
        <v>59</v>
      </c>
    </row>
    <row r="68" customFormat="false" ht="15" hidden="false" customHeight="false" outlineLevel="0" collapsed="false">
      <c r="A68" s="0" t="s">
        <v>445</v>
      </c>
      <c r="B68" s="0" t="n">
        <f aca="false">COUNTIF(Videos_Data!C:C,A68)</f>
        <v>8</v>
      </c>
      <c r="C68" s="0" t="n">
        <f aca="false">SUMIF(Videos_Data!C:C,A68,Videos_Data!G:G)</f>
        <v>20207886</v>
      </c>
      <c r="D68" s="0" t="n">
        <f aca="false">SUMIF(Videos_Data!C:C,A68,Videos_Data!H:H)</f>
        <v>677006</v>
      </c>
      <c r="E68" s="0" t="n">
        <f aca="false">SUMIF(Videos_Data!C:C,A68,Videos_Data!I:I)</f>
        <v>195220</v>
      </c>
      <c r="F68" s="0" t="n">
        <f aca="false">IF(B68&gt;0,C68/B68,0)</f>
        <v>2525985.75</v>
      </c>
      <c r="G68" s="0" t="n">
        <f aca="false">IF(B68&gt;0,D68/B68,0)</f>
        <v>84625.75</v>
      </c>
      <c r="H68" s="0" t="n">
        <f aca="false">IF(C68&gt;0,((D68+E68)/C68)*100,0)</f>
        <v>4.31626544211502</v>
      </c>
      <c r="I68" s="0" t="s">
        <v>39</v>
      </c>
    </row>
    <row r="69" customFormat="false" ht="15" hidden="false" customHeight="false" outlineLevel="0" collapsed="false">
      <c r="A69" s="0" t="s">
        <v>317</v>
      </c>
      <c r="B69" s="0" t="n">
        <f aca="false">COUNTIF(Videos_Data!C:C,A69)</f>
        <v>10</v>
      </c>
      <c r="C69" s="0" t="n">
        <f aca="false">SUMIF(Videos_Data!C:C,A69,Videos_Data!G:G)</f>
        <v>27019025</v>
      </c>
      <c r="D69" s="0" t="n">
        <f aca="false">SUMIF(Videos_Data!C:C,A69,Videos_Data!H:H)</f>
        <v>949892</v>
      </c>
      <c r="E69" s="0" t="n">
        <f aca="false">SUMIF(Videos_Data!C:C,A69,Videos_Data!I:I)</f>
        <v>267777</v>
      </c>
      <c r="F69" s="0" t="n">
        <f aca="false">IF(B69&gt;0,C69/B69,0)</f>
        <v>2701902.5</v>
      </c>
      <c r="G69" s="0" t="n">
        <f aca="false">IF(B69&gt;0,D69/B69,0)</f>
        <v>94989.2</v>
      </c>
      <c r="H69" s="0" t="n">
        <f aca="false">IF(C69&gt;0,((D69+E69)/C69)*100,0)</f>
        <v>4.50670962405194</v>
      </c>
      <c r="I69" s="0" t="s">
        <v>109</v>
      </c>
    </row>
    <row r="70" customFormat="false" ht="15" hidden="false" customHeight="false" outlineLevel="0" collapsed="false">
      <c r="A70" s="0" t="s">
        <v>313</v>
      </c>
      <c r="B70" s="0" t="n">
        <f aca="false">COUNTIF(Videos_Data!C:C,A70)</f>
        <v>2</v>
      </c>
      <c r="C70" s="0" t="n">
        <f aca="false">SUMIF(Videos_Data!C:C,A70,Videos_Data!G:G)</f>
        <v>4015847</v>
      </c>
      <c r="D70" s="0" t="n">
        <f aca="false">SUMIF(Videos_Data!C:C,A70,Videos_Data!H:H)</f>
        <v>149495</v>
      </c>
      <c r="E70" s="0" t="n">
        <f aca="false">SUMIF(Videos_Data!C:C,A70,Videos_Data!I:I)</f>
        <v>44876</v>
      </c>
      <c r="F70" s="0" t="n">
        <f aca="false">IF(B70&gt;0,C70/B70,0)</f>
        <v>2007923.5</v>
      </c>
      <c r="G70" s="0" t="n">
        <f aca="false">IF(B70&gt;0,D70/B70,0)</f>
        <v>74747.5</v>
      </c>
      <c r="H70" s="0" t="n">
        <f aca="false">IF(C70&gt;0,((D70+E70)/C70)*100,0)</f>
        <v>4.84009973487536</v>
      </c>
      <c r="I70" s="0" t="s">
        <v>32</v>
      </c>
    </row>
    <row r="71" customFormat="false" ht="15" hidden="false" customHeight="false" outlineLevel="0" collapsed="false">
      <c r="A71" s="0" t="s">
        <v>706</v>
      </c>
      <c r="B71" s="0" t="n">
        <f aca="false">COUNTIF(Videos_Data!C:C,A71)</f>
        <v>4</v>
      </c>
      <c r="C71" s="0" t="n">
        <f aca="false">SUMIF(Videos_Data!C:C,A71,Videos_Data!G:G)</f>
        <v>12220761</v>
      </c>
      <c r="D71" s="0" t="n">
        <f aca="false">SUMIF(Videos_Data!C:C,A71,Videos_Data!H:H)</f>
        <v>450021</v>
      </c>
      <c r="E71" s="0" t="n">
        <f aca="false">SUMIF(Videos_Data!C:C,A71,Videos_Data!I:I)</f>
        <v>113517</v>
      </c>
      <c r="F71" s="0" t="n">
        <f aca="false">IF(B71&gt;0,C71/B71,0)</f>
        <v>3055190.25</v>
      </c>
      <c r="G71" s="0" t="n">
        <f aca="false">IF(B71&gt;0,D71/B71,0)</f>
        <v>112505.25</v>
      </c>
      <c r="H71" s="0" t="n">
        <f aca="false">IF(C71&gt;0,((D71+E71)/C71)*100,0)</f>
        <v>4.61131675842446</v>
      </c>
      <c r="I71" s="0" t="s">
        <v>46</v>
      </c>
    </row>
    <row r="72" customFormat="false" ht="15" hidden="false" customHeight="false" outlineLevel="0" collapsed="false">
      <c r="A72" s="0" t="s">
        <v>529</v>
      </c>
      <c r="B72" s="0" t="n">
        <f aca="false">COUNTIF(Videos_Data!C:C,A72)</f>
        <v>8</v>
      </c>
      <c r="C72" s="0" t="n">
        <f aca="false">SUMIF(Videos_Data!C:C,A72,Videos_Data!G:G)</f>
        <v>22366851</v>
      </c>
      <c r="D72" s="0" t="n">
        <f aca="false">SUMIF(Videos_Data!C:C,A72,Videos_Data!H:H)</f>
        <v>760729</v>
      </c>
      <c r="E72" s="0" t="n">
        <f aca="false">SUMIF(Videos_Data!C:C,A72,Videos_Data!I:I)</f>
        <v>232365</v>
      </c>
      <c r="F72" s="0" t="n">
        <f aca="false">IF(B72&gt;0,C72/B72,0)</f>
        <v>2795856.375</v>
      </c>
      <c r="G72" s="0" t="n">
        <f aca="false">IF(B72&gt;0,D72/B72,0)</f>
        <v>95091.125</v>
      </c>
      <c r="H72" s="0" t="n">
        <f aca="false">IF(C72&gt;0,((D72+E72)/C72)*100,0)</f>
        <v>4.44002600097797</v>
      </c>
      <c r="I72" s="0" t="s">
        <v>59</v>
      </c>
    </row>
    <row r="73" customFormat="false" ht="15" hidden="false" customHeight="false" outlineLevel="0" collapsed="false">
      <c r="A73" s="0" t="s">
        <v>784</v>
      </c>
      <c r="B73" s="0" t="n">
        <f aca="false">COUNTIF(Videos_Data!C:C,A73)</f>
        <v>7</v>
      </c>
      <c r="C73" s="0" t="n">
        <f aca="false">SUMIF(Videos_Data!C:C,A73,Videos_Data!G:G)</f>
        <v>14512776</v>
      </c>
      <c r="D73" s="0" t="n">
        <f aca="false">SUMIF(Videos_Data!C:C,A73,Videos_Data!H:H)</f>
        <v>470662</v>
      </c>
      <c r="E73" s="0" t="n">
        <f aca="false">SUMIF(Videos_Data!C:C,A73,Videos_Data!I:I)</f>
        <v>145393</v>
      </c>
      <c r="F73" s="0" t="n">
        <f aca="false">IF(B73&gt;0,C73/B73,0)</f>
        <v>2073253.71428571</v>
      </c>
      <c r="G73" s="0" t="n">
        <f aca="false">IF(B73&gt;0,D73/B73,0)</f>
        <v>67237.4285714286</v>
      </c>
      <c r="H73" s="0" t="n">
        <f aca="false">IF(C73&gt;0,((D73+E73)/C73)*100,0)</f>
        <v>4.24491496320208</v>
      </c>
      <c r="I73" s="0" t="s">
        <v>46</v>
      </c>
    </row>
    <row r="74" customFormat="false" ht="15" hidden="false" customHeight="false" outlineLevel="0" collapsed="false">
      <c r="A74" s="0" t="s">
        <v>232</v>
      </c>
      <c r="B74" s="0" t="n">
        <f aca="false">COUNTIF(Videos_Data!C:C,A74)</f>
        <v>10</v>
      </c>
      <c r="C74" s="0" t="n">
        <f aca="false">SUMIF(Videos_Data!C:C,A74,Videos_Data!G:G)</f>
        <v>20552073</v>
      </c>
      <c r="D74" s="0" t="n">
        <f aca="false">SUMIF(Videos_Data!C:C,A74,Videos_Data!H:H)</f>
        <v>642509</v>
      </c>
      <c r="E74" s="0" t="n">
        <f aca="false">SUMIF(Videos_Data!C:C,A74,Videos_Data!I:I)</f>
        <v>178871</v>
      </c>
      <c r="F74" s="0" t="n">
        <f aca="false">IF(B74&gt;0,C74/B74,0)</f>
        <v>2055207.3</v>
      </c>
      <c r="G74" s="0" t="n">
        <f aca="false">IF(B74&gt;0,D74/B74,0)</f>
        <v>64250.9</v>
      </c>
      <c r="H74" s="0" t="n">
        <f aca="false">IF(C74&gt;0,((D74+E74)/C74)*100,0)</f>
        <v>3.99657980973501</v>
      </c>
      <c r="I74" s="0" t="s">
        <v>109</v>
      </c>
    </row>
    <row r="75" customFormat="false" ht="15" hidden="false" customHeight="false" outlineLevel="0" collapsed="false">
      <c r="A75" s="0" t="s">
        <v>1014</v>
      </c>
      <c r="B75" s="0" t="n">
        <f aca="false">COUNTIF(Videos_Data!C:C,A75)</f>
        <v>6</v>
      </c>
      <c r="C75" s="0" t="n">
        <f aca="false">SUMIF(Videos_Data!C:C,A75,Videos_Data!G:G)</f>
        <v>17409168</v>
      </c>
      <c r="D75" s="0" t="n">
        <f aca="false">SUMIF(Videos_Data!C:C,A75,Videos_Data!H:H)</f>
        <v>578202</v>
      </c>
      <c r="E75" s="0" t="n">
        <f aca="false">SUMIF(Videos_Data!C:C,A75,Videos_Data!I:I)</f>
        <v>148966</v>
      </c>
      <c r="F75" s="0" t="n">
        <f aca="false">IF(B75&gt;0,C75/B75,0)</f>
        <v>2901528</v>
      </c>
      <c r="G75" s="0" t="n">
        <f aca="false">IF(B75&gt;0,D75/B75,0)</f>
        <v>96367</v>
      </c>
      <c r="H75" s="0" t="n">
        <f aca="false">IF(C75&gt;0,((D75+E75)/C75)*100,0)</f>
        <v>4.17692562907084</v>
      </c>
      <c r="I75" s="0" t="s">
        <v>39</v>
      </c>
    </row>
    <row r="76" customFormat="false" ht="15" hidden="false" customHeight="false" outlineLevel="0" collapsed="false">
      <c r="A76" s="0" t="s">
        <v>808</v>
      </c>
      <c r="B76" s="0" t="n">
        <f aca="false">COUNTIF(Videos_Data!C:C,A76)</f>
        <v>4</v>
      </c>
      <c r="C76" s="0" t="n">
        <f aca="false">SUMIF(Videos_Data!C:C,A76,Videos_Data!G:G)</f>
        <v>7927596</v>
      </c>
      <c r="D76" s="0" t="n">
        <f aca="false">SUMIF(Videos_Data!C:C,A76,Videos_Data!H:H)</f>
        <v>270439</v>
      </c>
      <c r="E76" s="0" t="n">
        <f aca="false">SUMIF(Videos_Data!C:C,A76,Videos_Data!I:I)</f>
        <v>79885</v>
      </c>
      <c r="F76" s="0" t="n">
        <f aca="false">IF(B76&gt;0,C76/B76,0)</f>
        <v>1981899</v>
      </c>
      <c r="G76" s="0" t="n">
        <f aca="false">IF(B76&gt;0,D76/B76,0)</f>
        <v>67609.75</v>
      </c>
      <c r="H76" s="0" t="n">
        <f aca="false">IF(C76&gt;0,((D76+E76)/C76)*100,0)</f>
        <v>4.41904456281576</v>
      </c>
      <c r="I76" s="0" t="s">
        <v>46</v>
      </c>
    </row>
    <row r="77" customFormat="false" ht="15" hidden="false" customHeight="false" outlineLevel="0" collapsed="false">
      <c r="A77" s="0" t="s">
        <v>93</v>
      </c>
      <c r="B77" s="0" t="n">
        <f aca="false">COUNTIF(Videos_Data!C:C,A77)</f>
        <v>8</v>
      </c>
      <c r="C77" s="0" t="n">
        <f aca="false">SUMIF(Videos_Data!C:C,A77,Videos_Data!G:G)</f>
        <v>20690619</v>
      </c>
      <c r="D77" s="0" t="n">
        <f aca="false">SUMIF(Videos_Data!C:C,A77,Videos_Data!H:H)</f>
        <v>718927</v>
      </c>
      <c r="E77" s="0" t="n">
        <f aca="false">SUMIF(Videos_Data!C:C,A77,Videos_Data!I:I)</f>
        <v>183116</v>
      </c>
      <c r="F77" s="0" t="n">
        <f aca="false">IF(B77&gt;0,C77/B77,0)</f>
        <v>2586327.375</v>
      </c>
      <c r="G77" s="0" t="n">
        <f aca="false">IF(B77&gt;0,D77/B77,0)</f>
        <v>89865.875</v>
      </c>
      <c r="H77" s="0" t="n">
        <f aca="false">IF(C77&gt;0,((D77+E77)/C77)*100,0)</f>
        <v>4.35967140470761</v>
      </c>
      <c r="I77" s="0" t="s">
        <v>32</v>
      </c>
    </row>
    <row r="78" customFormat="false" ht="15" hidden="false" customHeight="false" outlineLevel="0" collapsed="false">
      <c r="A78" s="0" t="s">
        <v>1935</v>
      </c>
      <c r="B78" s="0" t="n">
        <f aca="false">COUNTIF(Videos_Data!C:C,A78)</f>
        <v>0</v>
      </c>
      <c r="C78" s="0" t="n">
        <f aca="false">SUMIF(Videos_Data!C:C,A78,Videos_Data!G:G)</f>
        <v>0</v>
      </c>
      <c r="D78" s="0" t="n">
        <f aca="false">SUMIF(Videos_Data!C:C,A78,Videos_Data!H:H)</f>
        <v>0</v>
      </c>
      <c r="E78" s="0" t="n">
        <f aca="false">SUMIF(Videos_Data!C:C,A78,Videos_Data!I:I)</f>
        <v>0</v>
      </c>
      <c r="F78" s="0" t="n">
        <f aca="false">IF(B78&gt;0,C78/B78,0)</f>
        <v>0</v>
      </c>
      <c r="G78" s="0" t="n">
        <f aca="false">IF(B78&gt;0,D78/B78,0)</f>
        <v>0</v>
      </c>
      <c r="H78" s="0" t="n">
        <f aca="false">IF(C78&gt;0,((D78+E78)/C78)*100,0)</f>
        <v>0</v>
      </c>
      <c r="I78" s="0" t="s">
        <v>46</v>
      </c>
    </row>
    <row r="79" customFormat="false" ht="15" hidden="false" customHeight="false" outlineLevel="0" collapsed="false">
      <c r="A79" s="0" t="s">
        <v>510</v>
      </c>
      <c r="B79" s="0" t="n">
        <f aca="false">COUNTIF(Videos_Data!C:C,A79)</f>
        <v>9</v>
      </c>
      <c r="C79" s="0" t="n">
        <f aca="false">SUMIF(Videos_Data!C:C,A79,Videos_Data!G:G)</f>
        <v>21239863</v>
      </c>
      <c r="D79" s="0" t="n">
        <f aca="false">SUMIF(Videos_Data!C:C,A79,Videos_Data!H:H)</f>
        <v>655563</v>
      </c>
      <c r="E79" s="0" t="n">
        <f aca="false">SUMIF(Videos_Data!C:C,A79,Videos_Data!I:I)</f>
        <v>168947</v>
      </c>
      <c r="F79" s="0" t="n">
        <f aca="false">IF(B79&gt;0,C79/B79,0)</f>
        <v>2359984.77777778</v>
      </c>
      <c r="G79" s="0" t="n">
        <f aca="false">IF(B79&gt;0,D79/B79,0)</f>
        <v>72840.3333333333</v>
      </c>
      <c r="H79" s="0" t="n">
        <f aca="false">IF(C79&gt;0,((D79+E79)/C79)*100,0)</f>
        <v>3.8818988615887</v>
      </c>
      <c r="I79" s="0" t="s">
        <v>39</v>
      </c>
    </row>
    <row r="80" customFormat="false" ht="15" hidden="false" customHeight="false" outlineLevel="0" collapsed="false">
      <c r="A80" s="0" t="s">
        <v>486</v>
      </c>
      <c r="B80" s="0" t="n">
        <f aca="false">COUNTIF(Videos_Data!C:C,A80)</f>
        <v>8</v>
      </c>
      <c r="C80" s="0" t="n">
        <f aca="false">SUMIF(Videos_Data!C:C,A80,Videos_Data!G:G)</f>
        <v>20975955</v>
      </c>
      <c r="D80" s="0" t="n">
        <f aca="false">SUMIF(Videos_Data!C:C,A80,Videos_Data!H:H)</f>
        <v>653116</v>
      </c>
      <c r="E80" s="0" t="n">
        <f aca="false">SUMIF(Videos_Data!C:C,A80,Videos_Data!I:I)</f>
        <v>183595</v>
      </c>
      <c r="F80" s="0" t="n">
        <f aca="false">IF(B80&gt;0,C80/B80,0)</f>
        <v>2621994.375</v>
      </c>
      <c r="G80" s="0" t="n">
        <f aca="false">IF(B80&gt;0,D80/B80,0)</f>
        <v>81639.5</v>
      </c>
      <c r="H80" s="0" t="n">
        <f aca="false">IF(C80&gt;0,((D80+E80)/C80)*100,0)</f>
        <v>3.98890539191183</v>
      </c>
      <c r="I80" s="0" t="s">
        <v>32</v>
      </c>
    </row>
    <row r="81" customFormat="false" ht="15" hidden="false" customHeight="false" outlineLevel="0" collapsed="false">
      <c r="A81" s="0" t="s">
        <v>371</v>
      </c>
      <c r="B81" s="0" t="n">
        <f aca="false">COUNTIF(Videos_Data!C:C,A81)</f>
        <v>10</v>
      </c>
      <c r="C81" s="0" t="n">
        <f aca="false">SUMIF(Videos_Data!C:C,A81,Videos_Data!G:G)</f>
        <v>25764739</v>
      </c>
      <c r="D81" s="0" t="n">
        <f aca="false">SUMIF(Videos_Data!C:C,A81,Videos_Data!H:H)</f>
        <v>862455</v>
      </c>
      <c r="E81" s="0" t="n">
        <f aca="false">SUMIF(Videos_Data!C:C,A81,Videos_Data!I:I)</f>
        <v>228017</v>
      </c>
      <c r="F81" s="0" t="n">
        <f aca="false">IF(B81&gt;0,C81/B81,0)</f>
        <v>2576473.9</v>
      </c>
      <c r="G81" s="0" t="n">
        <f aca="false">IF(B81&gt;0,D81/B81,0)</f>
        <v>86245.5</v>
      </c>
      <c r="H81" s="0" t="n">
        <f aca="false">IF(C81&gt;0,((D81+E81)/C81)*100,0)</f>
        <v>4.23242013047367</v>
      </c>
      <c r="I81" s="0" t="s">
        <v>39</v>
      </c>
    </row>
    <row r="82" customFormat="false" ht="15" hidden="false" customHeight="false" outlineLevel="0" collapsed="false">
      <c r="A82" s="0" t="s">
        <v>806</v>
      </c>
      <c r="B82" s="0" t="n">
        <f aca="false">COUNTIF(Videos_Data!C:C,A82)</f>
        <v>7</v>
      </c>
      <c r="C82" s="0" t="n">
        <f aca="false">SUMIF(Videos_Data!C:C,A82,Videos_Data!G:G)</f>
        <v>23913721</v>
      </c>
      <c r="D82" s="0" t="n">
        <f aca="false">SUMIF(Videos_Data!C:C,A82,Videos_Data!H:H)</f>
        <v>800217</v>
      </c>
      <c r="E82" s="0" t="n">
        <f aca="false">SUMIF(Videos_Data!C:C,A82,Videos_Data!I:I)</f>
        <v>228512</v>
      </c>
      <c r="F82" s="0" t="n">
        <f aca="false">IF(B82&gt;0,C82/B82,0)</f>
        <v>3416245.85714286</v>
      </c>
      <c r="G82" s="0" t="n">
        <f aca="false">IF(B82&gt;0,D82/B82,0)</f>
        <v>114316.714285714</v>
      </c>
      <c r="H82" s="0" t="n">
        <f aca="false">IF(C82&gt;0,((D82+E82)/C82)*100,0)</f>
        <v>4.30183575362446</v>
      </c>
      <c r="I82" s="0" t="s">
        <v>59</v>
      </c>
    </row>
    <row r="83" customFormat="false" ht="15" hidden="false" customHeight="false" outlineLevel="0" collapsed="false">
      <c r="A83" s="0" t="s">
        <v>1220</v>
      </c>
      <c r="B83" s="0" t="n">
        <f aca="false">COUNTIF(Videos_Data!C:C,A83)</f>
        <v>4</v>
      </c>
      <c r="C83" s="0" t="n">
        <f aca="false">SUMIF(Videos_Data!C:C,A83,Videos_Data!G:G)</f>
        <v>7313841</v>
      </c>
      <c r="D83" s="0" t="n">
        <f aca="false">SUMIF(Videos_Data!C:C,A83,Videos_Data!H:H)</f>
        <v>192234</v>
      </c>
      <c r="E83" s="0" t="n">
        <f aca="false">SUMIF(Videos_Data!C:C,A83,Videos_Data!I:I)</f>
        <v>60737</v>
      </c>
      <c r="F83" s="0" t="n">
        <f aca="false">IF(B83&gt;0,C83/B83,0)</f>
        <v>1828460.25</v>
      </c>
      <c r="G83" s="0" t="n">
        <f aca="false">IF(B83&gt;0,D83/B83,0)</f>
        <v>48058.5</v>
      </c>
      <c r="H83" s="0" t="n">
        <f aca="false">IF(C83&gt;0,((D83+E83)/C83)*100,0)</f>
        <v>3.45879818825703</v>
      </c>
      <c r="I83" s="0" t="s">
        <v>109</v>
      </c>
    </row>
    <row r="84" customFormat="false" ht="15" hidden="false" customHeight="false" outlineLevel="0" collapsed="false">
      <c r="A84" s="0" t="s">
        <v>208</v>
      </c>
      <c r="B84" s="0" t="n">
        <f aca="false">COUNTIF(Videos_Data!C:C,A84)</f>
        <v>4</v>
      </c>
      <c r="C84" s="0" t="n">
        <f aca="false">SUMIF(Videos_Data!C:C,A84,Videos_Data!G:G)</f>
        <v>9236058</v>
      </c>
      <c r="D84" s="0" t="n">
        <f aca="false">SUMIF(Videos_Data!C:C,A84,Videos_Data!H:H)</f>
        <v>352600</v>
      </c>
      <c r="E84" s="0" t="n">
        <f aca="false">SUMIF(Videos_Data!C:C,A84,Videos_Data!I:I)</f>
        <v>109922</v>
      </c>
      <c r="F84" s="0" t="n">
        <f aca="false">IF(B84&gt;0,C84/B84,0)</f>
        <v>2309014.5</v>
      </c>
      <c r="G84" s="0" t="n">
        <f aca="false">IF(B84&gt;0,D84/B84,0)</f>
        <v>88150</v>
      </c>
      <c r="H84" s="0" t="n">
        <f aca="false">IF(C84&gt;0,((D84+E84)/C84)*100,0)</f>
        <v>5.00778578913212</v>
      </c>
      <c r="I84" s="0" t="s">
        <v>109</v>
      </c>
    </row>
    <row r="85" customFormat="false" ht="15" hidden="false" customHeight="false" outlineLevel="0" collapsed="false">
      <c r="A85" s="0" t="s">
        <v>16</v>
      </c>
      <c r="B85" s="0" t="n">
        <f aca="false">COUNTIF(Videos_Data!C:C,A85)</f>
        <v>7</v>
      </c>
      <c r="C85" s="0" t="n">
        <f aca="false">SUMIF(Videos_Data!C:C,A85,Videos_Data!G:G)</f>
        <v>13598619</v>
      </c>
      <c r="D85" s="0" t="n">
        <f aca="false">SUMIF(Videos_Data!C:C,A85,Videos_Data!H:H)</f>
        <v>448688</v>
      </c>
      <c r="E85" s="0" t="n">
        <f aca="false">SUMIF(Videos_Data!C:C,A85,Videos_Data!I:I)</f>
        <v>126063</v>
      </c>
      <c r="F85" s="0" t="n">
        <f aca="false">IF(B85&gt;0,C85/B85,0)</f>
        <v>1942659.85714286</v>
      </c>
      <c r="G85" s="0" t="n">
        <f aca="false">IF(B85&gt;0,D85/B85,0)</f>
        <v>64098.2857142857</v>
      </c>
      <c r="H85" s="0" t="n">
        <f aca="false">IF(C85&gt;0,((D85+E85)/C85)*100,0)</f>
        <v>4.22653947433927</v>
      </c>
      <c r="I85" s="0" t="s">
        <v>39</v>
      </c>
    </row>
    <row r="86" customFormat="false" ht="15" hidden="false" customHeight="false" outlineLevel="0" collapsed="false">
      <c r="A86" s="0" t="s">
        <v>119</v>
      </c>
      <c r="B86" s="0" t="n">
        <f aca="false">COUNTIF(Videos_Data!C:C,A86)</f>
        <v>6</v>
      </c>
      <c r="C86" s="0" t="n">
        <f aca="false">SUMIF(Videos_Data!C:C,A86,Videos_Data!G:G)</f>
        <v>11661740</v>
      </c>
      <c r="D86" s="0" t="n">
        <f aca="false">SUMIF(Videos_Data!C:C,A86,Videos_Data!H:H)</f>
        <v>341597</v>
      </c>
      <c r="E86" s="0" t="n">
        <f aca="false">SUMIF(Videos_Data!C:C,A86,Videos_Data!I:I)</f>
        <v>97888</v>
      </c>
      <c r="F86" s="0" t="n">
        <f aca="false">IF(B86&gt;0,C86/B86,0)</f>
        <v>1943623.33333333</v>
      </c>
      <c r="G86" s="0" t="n">
        <f aca="false">IF(B86&gt;0,D86/B86,0)</f>
        <v>56932.8333333333</v>
      </c>
      <c r="H86" s="0" t="n">
        <f aca="false">IF(C86&gt;0,((D86+E86)/C86)*100,0)</f>
        <v>3.76860571407011</v>
      </c>
      <c r="I86" s="0" t="s">
        <v>59</v>
      </c>
    </row>
    <row r="87" customFormat="false" ht="15" hidden="false" customHeight="false" outlineLevel="0" collapsed="false">
      <c r="A87" s="0" t="s">
        <v>251</v>
      </c>
      <c r="B87" s="0" t="n">
        <f aca="false">COUNTIF(Videos_Data!C:C,A87)</f>
        <v>6</v>
      </c>
      <c r="C87" s="0" t="n">
        <f aca="false">SUMIF(Videos_Data!C:C,A87,Videos_Data!G:G)</f>
        <v>17815473</v>
      </c>
      <c r="D87" s="0" t="n">
        <f aca="false">SUMIF(Videos_Data!C:C,A87,Videos_Data!H:H)</f>
        <v>646296</v>
      </c>
      <c r="E87" s="0" t="n">
        <f aca="false">SUMIF(Videos_Data!C:C,A87,Videos_Data!I:I)</f>
        <v>194416</v>
      </c>
      <c r="F87" s="0" t="n">
        <f aca="false">IF(B87&gt;0,C87/B87,0)</f>
        <v>2969245.5</v>
      </c>
      <c r="G87" s="0" t="n">
        <f aca="false">IF(B87&gt;0,D87/B87,0)</f>
        <v>107716</v>
      </c>
      <c r="H87" s="0" t="n">
        <f aca="false">IF(C87&gt;0,((D87+E87)/C87)*100,0)</f>
        <v>4.71899904088991</v>
      </c>
      <c r="I87" s="0" t="s">
        <v>39</v>
      </c>
    </row>
    <row r="88" customFormat="false" ht="15" hidden="false" customHeight="false" outlineLevel="0" collapsed="false">
      <c r="A88" s="0" t="s">
        <v>1166</v>
      </c>
      <c r="B88" s="0" t="n">
        <f aca="false">COUNTIF(Videos_Data!C:C,A88)</f>
        <v>4</v>
      </c>
      <c r="C88" s="0" t="n">
        <f aca="false">SUMIF(Videos_Data!C:C,A88,Videos_Data!G:G)</f>
        <v>9476285</v>
      </c>
      <c r="D88" s="0" t="n">
        <f aca="false">SUMIF(Videos_Data!C:C,A88,Videos_Data!H:H)</f>
        <v>310136</v>
      </c>
      <c r="E88" s="0" t="n">
        <f aca="false">SUMIF(Videos_Data!C:C,A88,Videos_Data!I:I)</f>
        <v>96540</v>
      </c>
      <c r="F88" s="0" t="n">
        <f aca="false">IF(B88&gt;0,C88/B88,0)</f>
        <v>2369071.25</v>
      </c>
      <c r="G88" s="0" t="n">
        <f aca="false">IF(B88&gt;0,D88/B88,0)</f>
        <v>77534</v>
      </c>
      <c r="H88" s="0" t="n">
        <f aca="false">IF(C88&gt;0,((D88+E88)/C88)*100,0)</f>
        <v>4.29151297159172</v>
      </c>
      <c r="I88" s="0" t="s">
        <v>32</v>
      </c>
    </row>
    <row r="89" customFormat="false" ht="15" hidden="false" customHeight="false" outlineLevel="0" collapsed="false">
      <c r="A89" s="0" t="s">
        <v>247</v>
      </c>
      <c r="B89" s="0" t="n">
        <f aca="false">COUNTIF(Videos_Data!C:C,A89)</f>
        <v>9</v>
      </c>
      <c r="C89" s="0" t="n">
        <f aca="false">SUMIF(Videos_Data!C:C,A89,Videos_Data!G:G)</f>
        <v>17599143</v>
      </c>
      <c r="D89" s="0" t="n">
        <f aca="false">SUMIF(Videos_Data!C:C,A89,Videos_Data!H:H)</f>
        <v>607398</v>
      </c>
      <c r="E89" s="0" t="n">
        <f aca="false">SUMIF(Videos_Data!C:C,A89,Videos_Data!I:I)</f>
        <v>176173</v>
      </c>
      <c r="F89" s="0" t="n">
        <f aca="false">IF(B89&gt;0,C89/B89,0)</f>
        <v>1955460.33333333</v>
      </c>
      <c r="G89" s="0" t="n">
        <f aca="false">IF(B89&gt;0,D89/B89,0)</f>
        <v>67488.6666666667</v>
      </c>
      <c r="H89" s="0" t="n">
        <f aca="false">IF(C89&gt;0,((D89+E89)/C89)*100,0)</f>
        <v>4.45232475240414</v>
      </c>
      <c r="I89" s="0" t="s">
        <v>109</v>
      </c>
    </row>
    <row r="90" customFormat="false" ht="15" hidden="false" customHeight="false" outlineLevel="0" collapsed="false">
      <c r="A90" s="0" t="s">
        <v>840</v>
      </c>
      <c r="B90" s="0" t="n">
        <f aca="false">COUNTIF(Videos_Data!C:C,A90)</f>
        <v>8</v>
      </c>
      <c r="C90" s="0" t="n">
        <f aca="false">SUMIF(Videos_Data!C:C,A90,Videos_Data!G:G)</f>
        <v>17849410</v>
      </c>
      <c r="D90" s="0" t="n">
        <f aca="false">SUMIF(Videos_Data!C:C,A90,Videos_Data!H:H)</f>
        <v>631939</v>
      </c>
      <c r="E90" s="0" t="n">
        <f aca="false">SUMIF(Videos_Data!C:C,A90,Videos_Data!I:I)</f>
        <v>176414</v>
      </c>
      <c r="F90" s="0" t="n">
        <f aca="false">IF(B90&gt;0,C90/B90,0)</f>
        <v>2231176.25</v>
      </c>
      <c r="G90" s="0" t="n">
        <f aca="false">IF(B90&gt;0,D90/B90,0)</f>
        <v>78992.375</v>
      </c>
      <c r="H90" s="0" t="n">
        <f aca="false">IF(C90&gt;0,((D90+E90)/C90)*100,0)</f>
        <v>4.5287379246709</v>
      </c>
      <c r="I90" s="0" t="s">
        <v>46</v>
      </c>
    </row>
    <row r="91" customFormat="false" ht="15" hidden="false" customHeight="false" outlineLevel="0" collapsed="false">
      <c r="A91" s="0" t="s">
        <v>595</v>
      </c>
      <c r="B91" s="0" t="n">
        <f aca="false">COUNTIF(Videos_Data!C:C,A91)</f>
        <v>3</v>
      </c>
      <c r="C91" s="0" t="n">
        <f aca="false">SUMIF(Videos_Data!C:C,A91,Videos_Data!G:G)</f>
        <v>8246237</v>
      </c>
      <c r="D91" s="0" t="n">
        <f aca="false">SUMIF(Videos_Data!C:C,A91,Videos_Data!H:H)</f>
        <v>347641</v>
      </c>
      <c r="E91" s="0" t="n">
        <f aca="false">SUMIF(Videos_Data!C:C,A91,Videos_Data!I:I)</f>
        <v>100629</v>
      </c>
      <c r="F91" s="0" t="n">
        <f aca="false">IF(B91&gt;0,C91/B91,0)</f>
        <v>2748745.66666667</v>
      </c>
      <c r="G91" s="0" t="n">
        <f aca="false">IF(B91&gt;0,D91/B91,0)</f>
        <v>115880.333333333</v>
      </c>
      <c r="H91" s="0" t="n">
        <f aca="false">IF(C91&gt;0,((D91+E91)/C91)*100,0)</f>
        <v>5.43605525768905</v>
      </c>
      <c r="I91" s="0" t="s">
        <v>59</v>
      </c>
    </row>
    <row r="92" customFormat="false" ht="15" hidden="false" customHeight="false" outlineLevel="0" collapsed="false">
      <c r="A92" s="0" t="s">
        <v>782</v>
      </c>
      <c r="B92" s="0" t="n">
        <f aca="false">COUNTIF(Videos_Data!C:C,A92)</f>
        <v>2</v>
      </c>
      <c r="C92" s="0" t="n">
        <f aca="false">SUMIF(Videos_Data!C:C,A92,Videos_Data!G:G)</f>
        <v>6895331</v>
      </c>
      <c r="D92" s="0" t="n">
        <f aca="false">SUMIF(Videos_Data!C:C,A92,Videos_Data!H:H)</f>
        <v>188446</v>
      </c>
      <c r="E92" s="0" t="n">
        <f aca="false">SUMIF(Videos_Data!C:C,A92,Videos_Data!I:I)</f>
        <v>72206</v>
      </c>
      <c r="F92" s="0" t="n">
        <f aca="false">IF(B92&gt;0,C92/B92,0)</f>
        <v>3447665.5</v>
      </c>
      <c r="G92" s="0" t="n">
        <f aca="false">IF(B92&gt;0,D92/B92,0)</f>
        <v>94223</v>
      </c>
      <c r="H92" s="0" t="n">
        <f aca="false">IF(C92&gt;0,((D92+E92)/C92)*100,0)</f>
        <v>3.78012310068944</v>
      </c>
      <c r="I92" s="0" t="s">
        <v>59</v>
      </c>
    </row>
    <row r="93" customFormat="false" ht="15" hidden="false" customHeight="false" outlineLevel="0" collapsed="false">
      <c r="A93" s="0" t="s">
        <v>350</v>
      </c>
      <c r="B93" s="0" t="n">
        <f aca="false">COUNTIF(Videos_Data!C:C,A93)</f>
        <v>9</v>
      </c>
      <c r="C93" s="0" t="n">
        <f aca="false">SUMIF(Videos_Data!C:C,A93,Videos_Data!G:G)</f>
        <v>18252324</v>
      </c>
      <c r="D93" s="0" t="n">
        <f aca="false">SUMIF(Videos_Data!C:C,A93,Videos_Data!H:H)</f>
        <v>589607</v>
      </c>
      <c r="E93" s="0" t="n">
        <f aca="false">SUMIF(Videos_Data!C:C,A93,Videos_Data!I:I)</f>
        <v>163798</v>
      </c>
      <c r="F93" s="0" t="n">
        <f aca="false">IF(B93&gt;0,C93/B93,0)</f>
        <v>2028036</v>
      </c>
      <c r="G93" s="0" t="n">
        <f aca="false">IF(B93&gt;0,D93/B93,0)</f>
        <v>65511.8888888889</v>
      </c>
      <c r="H93" s="0" t="n">
        <f aca="false">IF(C93&gt;0,((D93+E93)/C93)*100,0)</f>
        <v>4.12772094117987</v>
      </c>
      <c r="I93" s="0" t="s">
        <v>25</v>
      </c>
    </row>
    <row r="94" customFormat="false" ht="15" hidden="false" customHeight="false" outlineLevel="0" collapsed="false">
      <c r="A94" s="0" t="s">
        <v>324</v>
      </c>
      <c r="B94" s="0" t="n">
        <f aca="false">COUNTIF(Videos_Data!C:C,A94)</f>
        <v>8</v>
      </c>
      <c r="C94" s="0" t="n">
        <f aca="false">SUMIF(Videos_Data!C:C,A94,Videos_Data!G:G)</f>
        <v>21604405</v>
      </c>
      <c r="D94" s="0" t="n">
        <f aca="false">SUMIF(Videos_Data!C:C,A94,Videos_Data!H:H)</f>
        <v>724564</v>
      </c>
      <c r="E94" s="0" t="n">
        <f aca="false">SUMIF(Videos_Data!C:C,A94,Videos_Data!I:I)</f>
        <v>211579</v>
      </c>
      <c r="F94" s="0" t="n">
        <f aca="false">IF(B94&gt;0,C94/B94,0)</f>
        <v>2700550.625</v>
      </c>
      <c r="G94" s="0" t="n">
        <f aca="false">IF(B94&gt;0,D94/B94,0)</f>
        <v>90570.5</v>
      </c>
      <c r="H94" s="0" t="n">
        <f aca="false">IF(C94&gt;0,((D94+E94)/C94)*100,0)</f>
        <v>4.33311169643413</v>
      </c>
      <c r="I94" s="0" t="s">
        <v>39</v>
      </c>
    </row>
    <row r="95" customFormat="false" ht="15" hidden="false" customHeight="false" outlineLevel="0" collapsed="false">
      <c r="A95" s="0" t="s">
        <v>256</v>
      </c>
      <c r="B95" s="0" t="n">
        <f aca="false">COUNTIF(Videos_Data!C:C,A95)</f>
        <v>5</v>
      </c>
      <c r="C95" s="0" t="n">
        <f aca="false">SUMIF(Videos_Data!C:C,A95,Videos_Data!G:G)</f>
        <v>8509298</v>
      </c>
      <c r="D95" s="0" t="n">
        <f aca="false">SUMIF(Videos_Data!C:C,A95,Videos_Data!H:H)</f>
        <v>243682</v>
      </c>
      <c r="E95" s="0" t="n">
        <f aca="false">SUMIF(Videos_Data!C:C,A95,Videos_Data!I:I)</f>
        <v>78961</v>
      </c>
      <c r="F95" s="0" t="n">
        <f aca="false">IF(B95&gt;0,C95/B95,0)</f>
        <v>1701859.6</v>
      </c>
      <c r="G95" s="0" t="n">
        <f aca="false">IF(B95&gt;0,D95/B95,0)</f>
        <v>48736.4</v>
      </c>
      <c r="H95" s="0" t="n">
        <f aca="false">IF(C95&gt;0,((D95+E95)/C95)*100,0)</f>
        <v>3.79165237837481</v>
      </c>
      <c r="I95" s="0" t="s">
        <v>144</v>
      </c>
    </row>
    <row r="96" customFormat="false" ht="15" hidden="false" customHeight="false" outlineLevel="0" collapsed="false">
      <c r="A96" s="0" t="s">
        <v>1066</v>
      </c>
      <c r="B96" s="0" t="n">
        <f aca="false">COUNTIF(Videos_Data!C:C,A96)</f>
        <v>5</v>
      </c>
      <c r="C96" s="0" t="n">
        <f aca="false">SUMIF(Videos_Data!C:C,A96,Videos_Data!G:G)</f>
        <v>8049684</v>
      </c>
      <c r="D96" s="0" t="n">
        <f aca="false">SUMIF(Videos_Data!C:C,A96,Videos_Data!H:H)</f>
        <v>289997</v>
      </c>
      <c r="E96" s="0" t="n">
        <f aca="false">SUMIF(Videos_Data!C:C,A96,Videos_Data!I:I)</f>
        <v>69877</v>
      </c>
      <c r="F96" s="0" t="n">
        <f aca="false">IF(B96&gt;0,C96/B96,0)</f>
        <v>1609936.8</v>
      </c>
      <c r="G96" s="0" t="n">
        <f aca="false">IF(B96&gt;0,D96/B96,0)</f>
        <v>57999.4</v>
      </c>
      <c r="H96" s="0" t="n">
        <f aca="false">IF(C96&gt;0,((D96+E96)/C96)*100,0)</f>
        <v>4.47065996627942</v>
      </c>
      <c r="I96" s="0" t="s">
        <v>144</v>
      </c>
    </row>
    <row r="97" customFormat="false" ht="15" hidden="false" customHeight="false" outlineLevel="0" collapsed="false">
      <c r="A97" s="0" t="s">
        <v>283</v>
      </c>
      <c r="B97" s="0" t="n">
        <f aca="false">COUNTIF(Videos_Data!C:C,A97)</f>
        <v>2</v>
      </c>
      <c r="C97" s="0" t="n">
        <f aca="false">SUMIF(Videos_Data!C:C,A97,Videos_Data!G:G)</f>
        <v>3118048</v>
      </c>
      <c r="D97" s="0" t="n">
        <f aca="false">SUMIF(Videos_Data!C:C,A97,Videos_Data!H:H)</f>
        <v>94485</v>
      </c>
      <c r="E97" s="0" t="n">
        <f aca="false">SUMIF(Videos_Data!C:C,A97,Videos_Data!I:I)</f>
        <v>26611</v>
      </c>
      <c r="F97" s="0" t="n">
        <f aca="false">IF(B97&gt;0,C97/B97,0)</f>
        <v>1559024</v>
      </c>
      <c r="G97" s="0" t="n">
        <f aca="false">IF(B97&gt;0,D97/B97,0)</f>
        <v>47242.5</v>
      </c>
      <c r="H97" s="0" t="n">
        <f aca="false">IF(C97&gt;0,((D97+E97)/C97)*100,0)</f>
        <v>3.88371186075391</v>
      </c>
      <c r="I97" s="0" t="s">
        <v>25</v>
      </c>
    </row>
    <row r="98" customFormat="false" ht="15" hidden="false" customHeight="false" outlineLevel="0" collapsed="false">
      <c r="A98" s="0" t="s">
        <v>162</v>
      </c>
      <c r="B98" s="0" t="n">
        <f aca="false">COUNTIF(Videos_Data!C:C,A98)</f>
        <v>2</v>
      </c>
      <c r="C98" s="0" t="n">
        <f aca="false">SUMIF(Videos_Data!C:C,A98,Videos_Data!G:G)</f>
        <v>5993132</v>
      </c>
      <c r="D98" s="0" t="n">
        <f aca="false">SUMIF(Videos_Data!C:C,A98,Videos_Data!H:H)</f>
        <v>297615</v>
      </c>
      <c r="E98" s="0" t="n">
        <f aca="false">SUMIF(Videos_Data!C:C,A98,Videos_Data!I:I)</f>
        <v>82968</v>
      </c>
      <c r="F98" s="0" t="n">
        <f aca="false">IF(B98&gt;0,C98/B98,0)</f>
        <v>2996566</v>
      </c>
      <c r="G98" s="0" t="n">
        <f aca="false">IF(B98&gt;0,D98/B98,0)</f>
        <v>148807.5</v>
      </c>
      <c r="H98" s="0" t="n">
        <f aca="false">IF(C98&gt;0,((D98+E98)/C98)*100,0)</f>
        <v>6.35031899848026</v>
      </c>
      <c r="I98" s="0" t="s">
        <v>25</v>
      </c>
    </row>
    <row r="99" customFormat="false" ht="15" hidden="false" customHeight="false" outlineLevel="0" collapsed="false">
      <c r="A99" s="0" t="s">
        <v>523</v>
      </c>
      <c r="B99" s="0" t="n">
        <f aca="false">COUNTIF(Videos_Data!C:C,A99)</f>
        <v>13</v>
      </c>
      <c r="C99" s="0" t="n">
        <f aca="false">SUMIF(Videos_Data!C:C,A99,Videos_Data!G:G)</f>
        <v>31642358</v>
      </c>
      <c r="D99" s="0" t="n">
        <f aca="false">SUMIF(Videos_Data!C:C,A99,Videos_Data!H:H)</f>
        <v>1045668</v>
      </c>
      <c r="E99" s="0" t="n">
        <f aca="false">SUMIF(Videos_Data!C:C,A99,Videos_Data!I:I)</f>
        <v>309213</v>
      </c>
      <c r="F99" s="0" t="n">
        <f aca="false">IF(B99&gt;0,C99/B99,0)</f>
        <v>2434027.53846154</v>
      </c>
      <c r="G99" s="0" t="n">
        <f aca="false">IF(B99&gt;0,D99/B99,0)</f>
        <v>80436</v>
      </c>
      <c r="H99" s="0" t="n">
        <f aca="false">IF(C99&gt;0,((D99+E99)/C99)*100,0)</f>
        <v>4.28185851383137</v>
      </c>
      <c r="I99" s="0" t="s">
        <v>78</v>
      </c>
    </row>
    <row r="100" customFormat="false" ht="15" hidden="false" customHeight="false" outlineLevel="0" collapsed="false">
      <c r="A100" s="0" t="s">
        <v>731</v>
      </c>
      <c r="B100" s="0" t="n">
        <f aca="false">COUNTIF(Videos_Data!C:C,A100)</f>
        <v>4</v>
      </c>
      <c r="C100" s="0" t="n">
        <f aca="false">SUMIF(Videos_Data!C:C,A100,Videos_Data!G:G)</f>
        <v>12485046</v>
      </c>
      <c r="D100" s="0" t="n">
        <f aca="false">SUMIF(Videos_Data!C:C,A100,Videos_Data!H:H)</f>
        <v>418383</v>
      </c>
      <c r="E100" s="0" t="n">
        <f aca="false">SUMIF(Videos_Data!C:C,A100,Videos_Data!I:I)</f>
        <v>116361</v>
      </c>
      <c r="F100" s="0" t="n">
        <f aca="false">IF(B100&gt;0,C100/B100,0)</f>
        <v>3121261.5</v>
      </c>
      <c r="G100" s="0" t="n">
        <f aca="false">IF(B100&gt;0,D100/B100,0)</f>
        <v>104595.75</v>
      </c>
      <c r="H100" s="0" t="n">
        <f aca="false">IF(C100&gt;0,((D100+E100)/C100)*100,0)</f>
        <v>4.28307592939586</v>
      </c>
      <c r="I100" s="0" t="s">
        <v>144</v>
      </c>
    </row>
    <row r="101" customFormat="false" ht="15" hidden="false" customHeight="false" outlineLevel="0" collapsed="false">
      <c r="A101" s="0" t="s">
        <v>1174</v>
      </c>
      <c r="B101" s="0" t="n">
        <f aca="false">COUNTIF(Videos_Data!C:C,A101)</f>
        <v>2</v>
      </c>
      <c r="C101" s="0" t="n">
        <f aca="false">SUMIF(Videos_Data!C:C,A101,Videos_Data!G:G)</f>
        <v>5115515</v>
      </c>
      <c r="D101" s="0" t="n">
        <f aca="false">SUMIF(Videos_Data!C:C,A101,Videos_Data!H:H)</f>
        <v>141629</v>
      </c>
      <c r="E101" s="0" t="n">
        <f aca="false">SUMIF(Videos_Data!C:C,A101,Videos_Data!I:I)</f>
        <v>49947</v>
      </c>
      <c r="F101" s="0" t="n">
        <f aca="false">IF(B101&gt;0,C101/B101,0)</f>
        <v>2557757.5</v>
      </c>
      <c r="G101" s="0" t="n">
        <f aca="false">IF(B101&gt;0,D101/B101,0)</f>
        <v>70814.5</v>
      </c>
      <c r="H101" s="0" t="n">
        <f aca="false">IF(C101&gt;0,((D101+E101)/C101)*100,0)</f>
        <v>3.74499928159726</v>
      </c>
      <c r="I101" s="0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20"/>
  </cols>
  <sheetData>
    <row r="1" customFormat="false" ht="15" hidden="false" customHeight="false" outlineLevel="0" collapsed="false">
      <c r="A1" s="1" t="s">
        <v>3</v>
      </c>
      <c r="B1" s="1" t="s">
        <v>1936</v>
      </c>
      <c r="C1" s="1" t="s">
        <v>1928</v>
      </c>
      <c r="D1" s="1" t="s">
        <v>1929</v>
      </c>
      <c r="E1" s="1" t="s">
        <v>1930</v>
      </c>
      <c r="F1" s="1" t="s">
        <v>1937</v>
      </c>
      <c r="G1" s="1" t="s">
        <v>1938</v>
      </c>
      <c r="H1" s="1" t="s">
        <v>1939</v>
      </c>
    </row>
    <row r="2" customFormat="false" ht="15" hidden="false" customHeight="false" outlineLevel="0" collapsed="false">
      <c r="A2" s="0" t="s">
        <v>71</v>
      </c>
      <c r="B2" s="0" t="n">
        <f aca="false">COUNTIF(Videos_Data!D:D,A2)</f>
        <v>93</v>
      </c>
      <c r="C2" s="0" t="n">
        <f aca="false">SUMIF(Videos_Data!D:D,A2,Videos_Data!G:G)</f>
        <v>132177527</v>
      </c>
      <c r="D2" s="0" t="n">
        <f aca="false">SUMIF(Videos_Data!D:D,A2,Videos_Data!H:H)</f>
        <v>3400524</v>
      </c>
      <c r="E2" s="0" t="n">
        <f aca="false">SUMIF(Videos_Data!D:D,A2,Videos_Data!I:I)</f>
        <v>976614</v>
      </c>
      <c r="F2" s="0" t="n">
        <f aca="false">IF(B2&gt;0,C2/B2,0)</f>
        <v>1421263.7311828</v>
      </c>
      <c r="G2" s="0" t="n">
        <f aca="false">IF(C2&gt;0,((D2+E2)/C2)*100,0)</f>
        <v>3.31155991441722</v>
      </c>
      <c r="H2" s="0" t="s">
        <v>67</v>
      </c>
    </row>
    <row r="3" customFormat="false" ht="15" hidden="false" customHeight="false" outlineLevel="0" collapsed="false">
      <c r="A3" s="0" t="s">
        <v>39</v>
      </c>
      <c r="B3" s="0" t="n">
        <f aca="false">COUNTIF(Videos_Data!D:D,A3)</f>
        <v>92</v>
      </c>
      <c r="C3" s="0" t="n">
        <f aca="false">SUMIF(Videos_Data!D:D,A3,Videos_Data!G:G)</f>
        <v>229539353</v>
      </c>
      <c r="D3" s="0" t="n">
        <f aca="false">SUMIF(Videos_Data!D:D,A3,Videos_Data!H:H)</f>
        <v>9336736</v>
      </c>
      <c r="E3" s="0" t="n">
        <f aca="false">SUMIF(Videos_Data!D:D,A3,Videos_Data!I:I)</f>
        <v>2642698</v>
      </c>
      <c r="F3" s="0" t="n">
        <f aca="false">IF(B3&gt;0,C3/B3,0)</f>
        <v>2494992.9673913</v>
      </c>
      <c r="G3" s="0" t="n">
        <f aca="false">IF(C3&gt;0,((D3+E3)/C3)*100,0)</f>
        <v>5.2189020503164</v>
      </c>
      <c r="H3" s="0" t="s">
        <v>96</v>
      </c>
    </row>
    <row r="4" customFormat="false" ht="15" hidden="false" customHeight="false" outlineLevel="0" collapsed="false">
      <c r="A4" s="0" t="s">
        <v>89</v>
      </c>
      <c r="B4" s="0" t="n">
        <f aca="false">COUNTIF(Videos_Data!D:D,A4)</f>
        <v>85</v>
      </c>
      <c r="C4" s="0" t="n">
        <f aca="false">SUMIF(Videos_Data!D:D,A4,Videos_Data!G:G)</f>
        <v>128610526</v>
      </c>
      <c r="D4" s="0" t="n">
        <f aca="false">SUMIF(Videos_Data!D:D,A4,Videos_Data!H:H)</f>
        <v>3360359</v>
      </c>
      <c r="E4" s="0" t="n">
        <f aca="false">SUMIF(Videos_Data!D:D,A4,Videos_Data!I:I)</f>
        <v>994598</v>
      </c>
      <c r="F4" s="0" t="n">
        <f aca="false">IF(B4&gt;0,C4/B4,0)</f>
        <v>1513065.01176471</v>
      </c>
      <c r="G4" s="0" t="n">
        <f aca="false">IF(C4&gt;0,((D4+E4)/C4)*100,0)</f>
        <v>3.38615907690168</v>
      </c>
      <c r="H4" s="0" t="s">
        <v>169</v>
      </c>
    </row>
    <row r="5" customFormat="false" ht="15" hidden="false" customHeight="false" outlineLevel="0" collapsed="false">
      <c r="A5" s="0" t="s">
        <v>25</v>
      </c>
      <c r="B5" s="0" t="n">
        <f aca="false">COUNTIF(Videos_Data!D:D,A5)</f>
        <v>78</v>
      </c>
      <c r="C5" s="0" t="n">
        <f aca="false">SUMIF(Videos_Data!D:D,A5,Videos_Data!G:G)</f>
        <v>246989085</v>
      </c>
      <c r="D5" s="0" t="n">
        <f aca="false">SUMIF(Videos_Data!D:D,A5,Videos_Data!H:H)</f>
        <v>7900135</v>
      </c>
      <c r="E5" s="0" t="n">
        <f aca="false">SUMIF(Videos_Data!D:D,A5,Videos_Data!I:I)</f>
        <v>2344359</v>
      </c>
      <c r="F5" s="0" t="n">
        <f aca="false">IF(B5&gt;0,C5/B5,0)</f>
        <v>3166526.73076923</v>
      </c>
      <c r="G5" s="0" t="n">
        <f aca="false">IF(C5&gt;0,((D5+E5)/C5)*100,0)</f>
        <v>4.14775171137623</v>
      </c>
      <c r="H5" s="0" t="s">
        <v>140</v>
      </c>
    </row>
    <row r="6" customFormat="false" ht="15" hidden="false" customHeight="false" outlineLevel="0" collapsed="false">
      <c r="A6" s="0" t="s">
        <v>17</v>
      </c>
      <c r="B6" s="0" t="n">
        <f aca="false">COUNTIF(Videos_Data!D:D,A6)</f>
        <v>71</v>
      </c>
      <c r="C6" s="0" t="n">
        <f aca="false">SUMIF(Videos_Data!D:D,A6,Videos_Data!G:G)</f>
        <v>146840703</v>
      </c>
      <c r="D6" s="0" t="n">
        <f aca="false">SUMIF(Videos_Data!D:D,A6,Videos_Data!H:H)</f>
        <v>4054080</v>
      </c>
      <c r="E6" s="0" t="n">
        <f aca="false">SUMIF(Videos_Data!D:D,A6,Videos_Data!I:I)</f>
        <v>1203209</v>
      </c>
      <c r="F6" s="0" t="n">
        <f aca="false">IF(B6&gt;0,C6/B6,0)</f>
        <v>2068178.91549296</v>
      </c>
      <c r="G6" s="0" t="n">
        <f aca="false">IF(C6&gt;0,((D6+E6)/C6)*100,0)</f>
        <v>3.58026684195321</v>
      </c>
      <c r="H6" s="0" t="s">
        <v>55</v>
      </c>
    </row>
    <row r="7" customFormat="false" ht="15" hidden="false" customHeight="false" outlineLevel="0" collapsed="false">
      <c r="A7" s="0" t="s">
        <v>59</v>
      </c>
      <c r="B7" s="0" t="n">
        <f aca="false">COUNTIF(Videos_Data!D:D,A7)</f>
        <v>76</v>
      </c>
      <c r="C7" s="0" t="n">
        <f aca="false">SUMIF(Videos_Data!D:D,A7,Videos_Data!G:G)</f>
        <v>216093926</v>
      </c>
      <c r="D7" s="0" t="n">
        <f aca="false">SUMIF(Videos_Data!D:D,A7,Videos_Data!H:H)</f>
        <v>10093963</v>
      </c>
      <c r="E7" s="0" t="n">
        <f aca="false">SUMIF(Videos_Data!D:D,A7,Videos_Data!I:I)</f>
        <v>2850073</v>
      </c>
      <c r="F7" s="0" t="n">
        <f aca="false">IF(B7&gt;0,C7/B7,0)</f>
        <v>2843341.13157895</v>
      </c>
      <c r="G7" s="0" t="n">
        <f aca="false">IF(C7&gt;0,((D7+E7)/C7)*100,0)</f>
        <v>5.99000455015103</v>
      </c>
      <c r="H7" s="0" t="s">
        <v>140</v>
      </c>
    </row>
    <row r="8" customFormat="false" ht="15" hidden="false" customHeight="false" outlineLevel="0" collapsed="false">
      <c r="A8" s="0" t="s">
        <v>65</v>
      </c>
      <c r="B8" s="0" t="n">
        <f aca="false">COUNTIF(Videos_Data!D:D,A8)</f>
        <v>89</v>
      </c>
      <c r="C8" s="0" t="n">
        <f aca="false">SUMIF(Videos_Data!D:D,A8,Videos_Data!G:G)</f>
        <v>162202073</v>
      </c>
      <c r="D8" s="0" t="n">
        <f aca="false">SUMIF(Videos_Data!D:D,A8,Videos_Data!H:H)</f>
        <v>5173642</v>
      </c>
      <c r="E8" s="0" t="n">
        <f aca="false">SUMIF(Videos_Data!D:D,A8,Videos_Data!I:I)</f>
        <v>1452813</v>
      </c>
      <c r="F8" s="0" t="n">
        <f aca="false">IF(B8&gt;0,C8/B8,0)</f>
        <v>1822495.20224719</v>
      </c>
      <c r="G8" s="0" t="n">
        <f aca="false">IF(C8&gt;0,((D8+E8)/C8)*100,0)</f>
        <v>4.0853084534869</v>
      </c>
      <c r="H8" s="0" t="s">
        <v>21</v>
      </c>
    </row>
    <row r="9" customFormat="false" ht="15" hidden="false" customHeight="false" outlineLevel="0" collapsed="false">
      <c r="A9" s="0" t="s">
        <v>32</v>
      </c>
      <c r="B9" s="0" t="n">
        <f aca="false">COUNTIF(Videos_Data!D:D,A9)</f>
        <v>84</v>
      </c>
      <c r="C9" s="0" t="n">
        <f aca="false">SUMIF(Videos_Data!D:D,A9,Videos_Data!G:G)</f>
        <v>368257672</v>
      </c>
      <c r="D9" s="0" t="n">
        <f aca="false">SUMIF(Videos_Data!D:D,A9,Videos_Data!H:H)</f>
        <v>13789407</v>
      </c>
      <c r="E9" s="0" t="n">
        <f aca="false">SUMIF(Videos_Data!D:D,A9,Videos_Data!I:I)</f>
        <v>4061833</v>
      </c>
      <c r="F9" s="0" t="n">
        <f aca="false">IF(B9&gt;0,C9/B9,0)</f>
        <v>4384019.90476191</v>
      </c>
      <c r="G9" s="0" t="n">
        <f aca="false">IF(C9&gt;0,((D9+E9)/C9)*100,0)</f>
        <v>4.84748624598919</v>
      </c>
      <c r="H9" s="0" t="s">
        <v>96</v>
      </c>
    </row>
    <row r="10" customFormat="false" ht="15" hidden="false" customHeight="false" outlineLevel="0" collapsed="false">
      <c r="A10" s="0" t="s">
        <v>144</v>
      </c>
      <c r="B10" s="0" t="n">
        <f aca="false">COUNTIF(Videos_Data!D:D,A10)</f>
        <v>78</v>
      </c>
      <c r="C10" s="0" t="n">
        <f aca="false">SUMIF(Videos_Data!D:D,A10,Videos_Data!G:G)</f>
        <v>151908525</v>
      </c>
      <c r="D10" s="0" t="n">
        <f aca="false">SUMIF(Videos_Data!D:D,A10,Videos_Data!H:H)</f>
        <v>3714973</v>
      </c>
      <c r="E10" s="0" t="n">
        <f aca="false">SUMIF(Videos_Data!D:D,A10,Videos_Data!I:I)</f>
        <v>1068822</v>
      </c>
      <c r="F10" s="0" t="n">
        <f aca="false">IF(B10&gt;0,C10/B10,0)</f>
        <v>1947545.19230769</v>
      </c>
      <c r="G10" s="0" t="n">
        <f aca="false">IF(C10&gt;0,((D10+E10)/C10)*100,0)</f>
        <v>3.1491287273048</v>
      </c>
      <c r="H10" s="0" t="s">
        <v>74</v>
      </c>
    </row>
    <row r="11" customFormat="false" ht="15" hidden="false" customHeight="false" outlineLevel="0" collapsed="false">
      <c r="A11" s="0" t="s">
        <v>109</v>
      </c>
      <c r="B11" s="0" t="n">
        <f aca="false">COUNTIF(Videos_Data!D:D,A11)</f>
        <v>84</v>
      </c>
      <c r="C11" s="0" t="n">
        <f aca="false">SUMIF(Videos_Data!D:D,A11,Videos_Data!G:G)</f>
        <v>133610086</v>
      </c>
      <c r="D11" s="0" t="n">
        <f aca="false">SUMIF(Videos_Data!D:D,A11,Videos_Data!H:H)</f>
        <v>4112993</v>
      </c>
      <c r="E11" s="0" t="n">
        <f aca="false">SUMIF(Videos_Data!D:D,A11,Videos_Data!I:I)</f>
        <v>1180031</v>
      </c>
      <c r="F11" s="0" t="n">
        <f aca="false">IF(B11&gt;0,C11/B11,0)</f>
        <v>1590596.26190476</v>
      </c>
      <c r="G11" s="0" t="n">
        <f aca="false">IF(C11&gt;0,((D11+E11)/C11)*100,0)</f>
        <v>3.96154523843357</v>
      </c>
      <c r="H11" s="0" t="s">
        <v>74</v>
      </c>
    </row>
    <row r="12" customFormat="false" ht="15" hidden="false" customHeight="false" outlineLevel="0" collapsed="false">
      <c r="A12" s="0" t="s">
        <v>46</v>
      </c>
      <c r="B12" s="0" t="n">
        <f aca="false">COUNTIF(Videos_Data!D:D,A12)</f>
        <v>93</v>
      </c>
      <c r="C12" s="0" t="n">
        <f aca="false">SUMIF(Videos_Data!D:D,A12,Videos_Data!G:G)</f>
        <v>196439039</v>
      </c>
      <c r="D12" s="0" t="n">
        <f aca="false">SUMIF(Videos_Data!D:D,A12,Videos_Data!H:H)</f>
        <v>5835300</v>
      </c>
      <c r="E12" s="0" t="n">
        <f aca="false">SUMIF(Videos_Data!D:D,A12,Videos_Data!I:I)</f>
        <v>1654993</v>
      </c>
      <c r="F12" s="0" t="n">
        <f aca="false">IF(B12&gt;0,C12/B12,0)</f>
        <v>2112247.7311828</v>
      </c>
      <c r="G12" s="0" t="n">
        <f aca="false">IF(C12&gt;0,((D12+E12)/C12)*100,0)</f>
        <v>3.81303687807188</v>
      </c>
      <c r="H12" s="0" t="s">
        <v>169</v>
      </c>
    </row>
    <row r="13" customFormat="false" ht="15" hidden="false" customHeight="false" outlineLevel="0" collapsed="false">
      <c r="A13" s="0" t="s">
        <v>78</v>
      </c>
      <c r="B13" s="0" t="n">
        <f aca="false">COUNTIF(Videos_Data!D:D,A13)</f>
        <v>77</v>
      </c>
      <c r="C13" s="0" t="n">
        <f aca="false">SUMIF(Videos_Data!D:D,A13,Videos_Data!G:G)</f>
        <v>281797432</v>
      </c>
      <c r="D13" s="0" t="n">
        <f aca="false">SUMIF(Videos_Data!D:D,A13,Videos_Data!H:H)</f>
        <v>10203306</v>
      </c>
      <c r="E13" s="0" t="n">
        <f aca="false">SUMIF(Videos_Data!D:D,A13,Videos_Data!I:I)</f>
        <v>3016388</v>
      </c>
      <c r="F13" s="0" t="n">
        <f aca="false">IF(B13&gt;0,C13/B13,0)</f>
        <v>3659706.90909091</v>
      </c>
      <c r="G13" s="0" t="n">
        <f aca="false">IF(C13&gt;0,((D13+E13)/C13)*100,0)</f>
        <v>4.69120456711614</v>
      </c>
      <c r="H13" s="0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3" style="0" width="25"/>
  </cols>
  <sheetData>
    <row r="1" customFormat="false" ht="19.7" hidden="false" customHeight="false" outlineLevel="0" collapsed="false">
      <c r="A1" s="2" t="s">
        <v>1940</v>
      </c>
      <c r="B1" s="2"/>
      <c r="C1" s="2"/>
      <c r="D1" s="2"/>
    </row>
    <row r="3" customFormat="false" ht="17.35" hidden="false" customHeight="false" outlineLevel="0" collapsed="false">
      <c r="A3" s="3" t="s">
        <v>1941</v>
      </c>
      <c r="B3" s="3"/>
      <c r="C3" s="3"/>
      <c r="D3" s="3"/>
    </row>
    <row r="5" customFormat="false" ht="15" hidden="false" customHeight="false" outlineLevel="0" collapsed="false">
      <c r="A5" s="4" t="s">
        <v>1942</v>
      </c>
      <c r="C5" s="5" t="n">
        <f aca="false">COUNTA(Videos_Data!A:A)-1</f>
        <v>1000</v>
      </c>
    </row>
    <row r="6" customFormat="false" ht="15" hidden="false" customHeight="false" outlineLevel="0" collapsed="false">
      <c r="A6" s="4" t="s">
        <v>1943</v>
      </c>
      <c r="C6" s="5" t="n">
        <f aca="false">SUM(Videos_Data!G:G)</f>
        <v>2394465947</v>
      </c>
    </row>
    <row r="7" customFormat="false" ht="15" hidden="false" customHeight="false" outlineLevel="0" collapsed="false">
      <c r="A7" s="4" t="s">
        <v>1944</v>
      </c>
      <c r="C7" s="5" t="n">
        <f aca="false">SUM(Videos_Data!H:H)</f>
        <v>80975418</v>
      </c>
    </row>
    <row r="8" customFormat="false" ht="15" hidden="false" customHeight="false" outlineLevel="0" collapsed="false">
      <c r="A8" s="4" t="s">
        <v>1945</v>
      </c>
      <c r="C8" s="5" t="n">
        <f aca="false">SUM(Videos_Data!I:I)</f>
        <v>23446431</v>
      </c>
    </row>
    <row r="9" customFormat="false" ht="15" hidden="false" customHeight="false" outlineLevel="0" collapsed="false">
      <c r="A9" s="4" t="s">
        <v>1946</v>
      </c>
      <c r="C9" s="5" t="n">
        <f aca="false">AVERAGE(Videos_Data!G:G)</f>
        <v>2394465.947</v>
      </c>
    </row>
    <row r="10" customFormat="false" ht="15" hidden="false" customHeight="false" outlineLevel="0" collapsed="false">
      <c r="A10" s="4" t="s">
        <v>1947</v>
      </c>
      <c r="C10" s="5" t="n">
        <f aca="false">AVERAGE(Videos_Data!H:H)</f>
        <v>80975.418</v>
      </c>
    </row>
    <row r="11" customFormat="false" ht="15" hidden="false" customHeight="false" outlineLevel="0" collapsed="false">
      <c r="A11" s="4" t="s">
        <v>1948</v>
      </c>
      <c r="C11" s="5" t="n">
        <f aca="false">AVERAGE(Channel_Analytics!H:H)</f>
        <v>4.33753819460969</v>
      </c>
    </row>
    <row r="12" customFormat="false" ht="15" hidden="false" customHeight="false" outlineLevel="0" collapsed="false">
      <c r="A12" s="4" t="s">
        <v>1949</v>
      </c>
      <c r="C12" s="5" t="n">
        <f aca="false">COUNTA(Channel_Analytics!A:A)-1</f>
        <v>100</v>
      </c>
    </row>
    <row r="14" customFormat="false" ht="17.35" hidden="false" customHeight="false" outlineLevel="0" collapsed="false">
      <c r="A14" s="3" t="s">
        <v>1950</v>
      </c>
      <c r="B14" s="3"/>
      <c r="C14" s="3"/>
      <c r="D14" s="3"/>
    </row>
  </sheetData>
  <mergeCells count="3">
    <mergeCell ref="A1:D1"/>
    <mergeCell ref="A3:D3"/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2026-05-11T06:37:16Z</dcterms:created>
  <dc:creator>openpyxl</dc:creator>
  <dc:description/>
  <dc:language>en-US</dc:language>
  <cp:lastModifiedBy/>
  <dcterms:modified xsi:type="dcterms:W3CDTF">2026-05-11T06:37:16Z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